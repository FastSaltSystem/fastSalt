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windat.V2\Documents\Project3\WISSR\WY\"/>
    </mc:Choice>
  </mc:AlternateContent>
  <xr:revisionPtr revIDLastSave="0" documentId="8_{19F2786C-DC1E-4B84-A8EE-2AA4DAD11481}" xr6:coauthVersionLast="47" xr6:coauthVersionMax="47" xr10:uidLastSave="{00000000-0000-0000-0000-000000000000}"/>
  <bookViews>
    <workbookView xWindow="5748" yWindow="948" windowWidth="28536" windowHeight="15336" xr2:uid="{9E092A1E-10E9-40F0-9959-2ADA3763BB94}"/>
  </bookViews>
  <sheets>
    <sheet name="counte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5" i="1" l="1"/>
  <c r="I65" i="1"/>
  <c r="L64" i="1"/>
  <c r="I64" i="1"/>
  <c r="I63" i="1"/>
  <c r="J62" i="1"/>
  <c r="K62" i="1" s="1"/>
  <c r="I62" i="1"/>
  <c r="G62" i="1"/>
  <c r="H62" i="1" s="1"/>
  <c r="I61" i="1"/>
  <c r="I60" i="1"/>
  <c r="I59" i="1"/>
  <c r="L58" i="1"/>
  <c r="I58" i="1"/>
  <c r="L57" i="1"/>
  <c r="I57" i="1"/>
  <c r="I56" i="1"/>
  <c r="J55" i="1"/>
  <c r="K55" i="1" s="1"/>
  <c r="I55" i="1"/>
  <c r="G55" i="1"/>
  <c r="H55" i="1" s="1"/>
  <c r="L54" i="1"/>
  <c r="I54" i="1"/>
  <c r="G54" i="1"/>
  <c r="H54" i="1" s="1"/>
  <c r="J54" i="1" s="1"/>
  <c r="K54" i="1" s="1"/>
  <c r="L53" i="1"/>
  <c r="I53" i="1"/>
  <c r="I52" i="1"/>
  <c r="G52" i="1"/>
  <c r="H52" i="1" s="1"/>
  <c r="J52" i="1" s="1"/>
  <c r="K52" i="1" s="1"/>
  <c r="I51" i="1"/>
  <c r="I50" i="1"/>
  <c r="I49" i="1"/>
  <c r="I48" i="1"/>
  <c r="L47" i="1"/>
  <c r="I47" i="1"/>
  <c r="L46" i="1"/>
  <c r="I46" i="1"/>
  <c r="I45" i="1"/>
  <c r="I44" i="1"/>
  <c r="L43" i="1"/>
  <c r="I43" i="1"/>
  <c r="G43" i="1"/>
  <c r="H43" i="1" s="1"/>
  <c r="J43" i="1" s="1"/>
  <c r="K43" i="1" s="1"/>
  <c r="I42" i="1"/>
  <c r="I41" i="1"/>
  <c r="L40" i="1"/>
  <c r="I40" i="1"/>
  <c r="L39" i="1"/>
  <c r="I39" i="1"/>
  <c r="I38" i="1"/>
  <c r="G38" i="1"/>
  <c r="H38" i="1" s="1"/>
  <c r="J38" i="1" s="1"/>
  <c r="K38" i="1" s="1"/>
  <c r="L37" i="1"/>
  <c r="I37" i="1"/>
  <c r="I36" i="1"/>
  <c r="G36" i="1"/>
  <c r="H36" i="1" s="1"/>
  <c r="J36" i="1" s="1"/>
  <c r="K36" i="1" s="1"/>
  <c r="I35" i="1"/>
  <c r="G35" i="1"/>
  <c r="H35" i="1" s="1"/>
  <c r="J35" i="1" s="1"/>
  <c r="K35" i="1" s="1"/>
  <c r="I34" i="1"/>
  <c r="I33" i="1"/>
  <c r="L32" i="1"/>
  <c r="I32" i="1"/>
  <c r="L31" i="1"/>
  <c r="I31" i="1"/>
  <c r="H31" i="1"/>
  <c r="J31" i="1" s="1"/>
  <c r="K31" i="1" s="1"/>
  <c r="G31" i="1"/>
  <c r="L30" i="1"/>
  <c r="I30" i="1"/>
  <c r="AC29" i="1"/>
  <c r="I29" i="1"/>
  <c r="L28" i="1"/>
  <c r="I28" i="1"/>
  <c r="L27" i="1"/>
  <c r="I27" i="1"/>
  <c r="I26" i="1"/>
  <c r="G26" i="1"/>
  <c r="H26" i="1" s="1"/>
  <c r="J26" i="1" s="1"/>
  <c r="K26" i="1" s="1"/>
  <c r="I25" i="1"/>
  <c r="G25" i="1"/>
  <c r="H25" i="1" s="1"/>
  <c r="J25" i="1" s="1"/>
  <c r="K25" i="1" s="1"/>
  <c r="L24" i="1"/>
  <c r="K24" i="1"/>
  <c r="I24" i="1"/>
  <c r="H24" i="1"/>
  <c r="J24" i="1" s="1"/>
  <c r="G24" i="1"/>
  <c r="L23" i="1"/>
  <c r="I23" i="1"/>
  <c r="I22" i="1"/>
  <c r="G22" i="1"/>
  <c r="H22" i="1" s="1"/>
  <c r="J22" i="1" s="1"/>
  <c r="K22" i="1" s="1"/>
  <c r="L21" i="1"/>
  <c r="I21" i="1"/>
  <c r="AC20" i="1"/>
  <c r="AC21" i="1" s="1"/>
  <c r="I20" i="1"/>
  <c r="G20" i="1"/>
  <c r="H20" i="1" s="1"/>
  <c r="J20" i="1" s="1"/>
  <c r="K20" i="1" s="1"/>
  <c r="AC19" i="1"/>
  <c r="L19" i="1"/>
  <c r="I19" i="1"/>
  <c r="G19" i="1"/>
  <c r="H19" i="1" s="1"/>
  <c r="J19" i="1" s="1"/>
  <c r="K19" i="1" s="1"/>
  <c r="AC18" i="1"/>
  <c r="I18" i="1"/>
  <c r="G18" i="1"/>
  <c r="H18" i="1" s="1"/>
  <c r="J18" i="1" s="1"/>
  <c r="K18" i="1" s="1"/>
  <c r="L17" i="1"/>
  <c r="I17" i="1"/>
  <c r="G17" i="1"/>
  <c r="H17" i="1" s="1"/>
  <c r="J17" i="1" s="1"/>
  <c r="K17" i="1" s="1"/>
  <c r="L16" i="1"/>
  <c r="I16" i="1"/>
  <c r="L15" i="1"/>
  <c r="I15" i="1"/>
  <c r="L14" i="1"/>
  <c r="I14" i="1"/>
  <c r="AC13" i="1"/>
  <c r="L13" i="1"/>
  <c r="I13" i="1"/>
  <c r="L12" i="1"/>
  <c r="I12" i="1"/>
  <c r="AC11" i="1"/>
  <c r="G61" i="1" s="1"/>
  <c r="H61" i="1" s="1"/>
  <c r="J61" i="1" s="1"/>
  <c r="K61" i="1" s="1"/>
  <c r="L11" i="1"/>
  <c r="I11" i="1"/>
  <c r="G11" i="1"/>
  <c r="H11" i="1" s="1"/>
  <c r="J11" i="1" s="1"/>
  <c r="K11" i="1" s="1"/>
  <c r="AC10" i="1"/>
  <c r="AC12" i="1" s="1"/>
  <c r="AC31" i="1" s="1"/>
  <c r="L10" i="1"/>
  <c r="I10" i="1"/>
  <c r="L9" i="1"/>
  <c r="I9" i="1"/>
  <c r="I8" i="1"/>
  <c r="L7" i="1"/>
  <c r="I7" i="1"/>
  <c r="L6" i="1"/>
  <c r="I6" i="1"/>
  <c r="AC5" i="1"/>
  <c r="AC14" i="1" s="1"/>
  <c r="G64" i="1" s="1"/>
  <c r="H64" i="1" s="1"/>
  <c r="I5" i="1"/>
  <c r="L4" i="1"/>
  <c r="I4" i="1"/>
  <c r="G4" i="1"/>
  <c r="H4" i="1" s="1"/>
  <c r="J4" i="1" s="1"/>
  <c r="K4" i="1" s="1"/>
  <c r="P3" i="1"/>
  <c r="T3" i="1" s="1"/>
  <c r="O3" i="1"/>
  <c r="N3" i="1"/>
  <c r="M3" i="1"/>
  <c r="Q3" i="1" s="1"/>
  <c r="I3" i="1"/>
  <c r="G3" i="1"/>
  <c r="H3" i="1" s="1"/>
  <c r="J3" i="1" s="1"/>
  <c r="K3" i="1" s="1"/>
  <c r="R3" i="1" l="1"/>
  <c r="W3" i="1"/>
  <c r="S3" i="1"/>
  <c r="U3" i="1" s="1"/>
  <c r="V3" i="1" s="1"/>
  <c r="G5" i="1"/>
  <c r="H5" i="1" s="1"/>
  <c r="J5" i="1" s="1"/>
  <c r="K5" i="1" s="1"/>
  <c r="G29" i="1"/>
  <c r="H29" i="1" s="1"/>
  <c r="J29" i="1" s="1"/>
  <c r="K29" i="1" s="1"/>
  <c r="G59" i="1"/>
  <c r="H59" i="1" s="1"/>
  <c r="J59" i="1" s="1"/>
  <c r="K59" i="1" s="1"/>
  <c r="G6" i="1"/>
  <c r="H6" i="1" s="1"/>
  <c r="J6" i="1" s="1"/>
  <c r="K6" i="1" s="1"/>
  <c r="G10" i="1"/>
  <c r="H10" i="1" s="1"/>
  <c r="J10" i="1" s="1"/>
  <c r="K10" i="1" s="1"/>
  <c r="G7" i="1"/>
  <c r="H7" i="1" s="1"/>
  <c r="J7" i="1" s="1"/>
  <c r="K7" i="1" s="1"/>
  <c r="G9" i="1"/>
  <c r="H9" i="1" s="1"/>
  <c r="J9" i="1" s="1"/>
  <c r="K9" i="1" s="1"/>
  <c r="G13" i="1"/>
  <c r="H13" i="1" s="1"/>
  <c r="J13" i="1" s="1"/>
  <c r="K13" i="1" s="1"/>
  <c r="G28" i="1"/>
  <c r="H28" i="1" s="1"/>
  <c r="J28" i="1" s="1"/>
  <c r="K28" i="1" s="1"/>
  <c r="G34" i="1"/>
  <c r="H34" i="1" s="1"/>
  <c r="J34" i="1" s="1"/>
  <c r="K34" i="1" s="1"/>
  <c r="L66" i="1"/>
  <c r="G30" i="1"/>
  <c r="H30" i="1" s="1"/>
  <c r="J30" i="1" s="1"/>
  <c r="K30" i="1" s="1"/>
  <c r="G21" i="1"/>
  <c r="H21" i="1" s="1"/>
  <c r="J21" i="1" s="1"/>
  <c r="K21" i="1" s="1"/>
  <c r="G50" i="1"/>
  <c r="H50" i="1" s="1"/>
  <c r="J50" i="1" s="1"/>
  <c r="K50" i="1" s="1"/>
  <c r="G49" i="1"/>
  <c r="H49" i="1" s="1"/>
  <c r="J49" i="1" s="1"/>
  <c r="K49" i="1" s="1"/>
  <c r="G14" i="1"/>
  <c r="H14" i="1" s="1"/>
  <c r="J14" i="1" s="1"/>
  <c r="K14" i="1" s="1"/>
  <c r="G15" i="1"/>
  <c r="H15" i="1" s="1"/>
  <c r="J15" i="1" s="1"/>
  <c r="K15" i="1" s="1"/>
  <c r="G45" i="1"/>
  <c r="H45" i="1" s="1"/>
  <c r="J45" i="1" s="1"/>
  <c r="K45" i="1" s="1"/>
  <c r="J64" i="1"/>
  <c r="K64" i="1" s="1"/>
  <c r="M4" i="1"/>
  <c r="G12" i="1"/>
  <c r="H12" i="1" s="1"/>
  <c r="J12" i="1" s="1"/>
  <c r="K12" i="1" s="1"/>
  <c r="G33" i="1"/>
  <c r="H33" i="1" s="1"/>
  <c r="J33" i="1" s="1"/>
  <c r="K33" i="1" s="1"/>
  <c r="G42" i="1"/>
  <c r="H42" i="1" s="1"/>
  <c r="J42" i="1" s="1"/>
  <c r="K42" i="1" s="1"/>
  <c r="L8" i="1"/>
  <c r="G27" i="1"/>
  <c r="H27" i="1" s="1"/>
  <c r="J27" i="1" s="1"/>
  <c r="K27" i="1" s="1"/>
  <c r="L36" i="1"/>
  <c r="G23" i="1"/>
  <c r="H23" i="1" s="1"/>
  <c r="J23" i="1" s="1"/>
  <c r="K23" i="1" s="1"/>
  <c r="L26" i="1"/>
  <c r="L33" i="1"/>
  <c r="G47" i="1"/>
  <c r="H47" i="1" s="1"/>
  <c r="J47" i="1" s="1"/>
  <c r="K47" i="1" s="1"/>
  <c r="G48" i="1"/>
  <c r="H48" i="1" s="1"/>
  <c r="J48" i="1" s="1"/>
  <c r="K48" i="1" s="1"/>
  <c r="L51" i="1"/>
  <c r="G63" i="1"/>
  <c r="H63" i="1" s="1"/>
  <c r="J63" i="1" s="1"/>
  <c r="K63" i="1" s="1"/>
  <c r="L63" i="1"/>
  <c r="L56" i="1"/>
  <c r="L49" i="1"/>
  <c r="L42" i="1"/>
  <c r="L35" i="1"/>
  <c r="L62" i="1"/>
  <c r="L55" i="1"/>
  <c r="L48" i="1"/>
  <c r="L41" i="1"/>
  <c r="L34" i="1"/>
  <c r="L25" i="1"/>
  <c r="G65" i="1"/>
  <c r="H65" i="1" s="1"/>
  <c r="J65" i="1" s="1"/>
  <c r="K65" i="1" s="1"/>
  <c r="G58" i="1"/>
  <c r="H58" i="1" s="1"/>
  <c r="J58" i="1" s="1"/>
  <c r="K58" i="1" s="1"/>
  <c r="G51" i="1"/>
  <c r="H51" i="1" s="1"/>
  <c r="J51" i="1" s="1"/>
  <c r="K51" i="1" s="1"/>
  <c r="G44" i="1"/>
  <c r="H44" i="1" s="1"/>
  <c r="J44" i="1" s="1"/>
  <c r="K44" i="1" s="1"/>
  <c r="G37" i="1"/>
  <c r="H37" i="1" s="1"/>
  <c r="J37" i="1" s="1"/>
  <c r="K37" i="1" s="1"/>
  <c r="G60" i="1"/>
  <c r="H60" i="1" s="1"/>
  <c r="J60" i="1" s="1"/>
  <c r="K60" i="1" s="1"/>
  <c r="G53" i="1"/>
  <c r="H53" i="1" s="1"/>
  <c r="J53" i="1" s="1"/>
  <c r="K53" i="1" s="1"/>
  <c r="G46" i="1"/>
  <c r="H46" i="1" s="1"/>
  <c r="J46" i="1" s="1"/>
  <c r="K46" i="1" s="1"/>
  <c r="G39" i="1"/>
  <c r="H39" i="1" s="1"/>
  <c r="J39" i="1" s="1"/>
  <c r="K39" i="1" s="1"/>
  <c r="G32" i="1"/>
  <c r="H32" i="1" s="1"/>
  <c r="J32" i="1" s="1"/>
  <c r="K32" i="1" s="1"/>
  <c r="L59" i="1"/>
  <c r="L52" i="1"/>
  <c r="L45" i="1"/>
  <c r="L38" i="1"/>
  <c r="L29" i="1"/>
  <c r="L22" i="1"/>
  <c r="L20" i="1"/>
  <c r="L18" i="1"/>
  <c r="G8" i="1"/>
  <c r="H8" i="1" s="1"/>
  <c r="J8" i="1" s="1"/>
  <c r="K8" i="1" s="1"/>
  <c r="L5" i="1"/>
  <c r="G16" i="1"/>
  <c r="H16" i="1" s="1"/>
  <c r="J16" i="1" s="1"/>
  <c r="K16" i="1" s="1"/>
  <c r="L50" i="1"/>
  <c r="G40" i="1"/>
  <c r="H40" i="1" s="1"/>
  <c r="J40" i="1" s="1"/>
  <c r="K40" i="1" s="1"/>
  <c r="G41" i="1"/>
  <c r="H41" i="1" s="1"/>
  <c r="J41" i="1" s="1"/>
  <c r="K41" i="1" s="1"/>
  <c r="L44" i="1"/>
  <c r="G56" i="1"/>
  <c r="H56" i="1" s="1"/>
  <c r="J56" i="1" s="1"/>
  <c r="K56" i="1" s="1"/>
  <c r="G57" i="1"/>
  <c r="H57" i="1" s="1"/>
  <c r="J57" i="1" s="1"/>
  <c r="K57" i="1" s="1"/>
  <c r="L60" i="1"/>
  <c r="L61" i="1"/>
  <c r="P4" i="1" l="1"/>
  <c r="O4" i="1"/>
  <c r="N4" i="1"/>
  <c r="M5" i="1"/>
  <c r="Q4" i="1"/>
  <c r="X4" i="1"/>
  <c r="P5" i="1" l="1"/>
  <c r="N5" i="1"/>
  <c r="Q5" i="1"/>
  <c r="O5" i="1"/>
  <c r="T4" i="1"/>
  <c r="X5" i="1"/>
  <c r="S4" i="1"/>
  <c r="U4" i="1" s="1"/>
  <c r="V4" i="1" s="1"/>
  <c r="W4" i="1" s="1"/>
  <c r="Y4" i="1" s="1"/>
  <c r="R4" i="1"/>
  <c r="Z4" i="1" l="1"/>
  <c r="T5" i="1"/>
  <c r="R5" i="1"/>
  <c r="S5" i="1" s="1"/>
  <c r="U5" i="1" s="1"/>
  <c r="V5" i="1" s="1"/>
  <c r="W5" i="1" s="1"/>
  <c r="Y5" i="1" s="1"/>
  <c r="M6" i="1"/>
  <c r="Q6" i="1" l="1"/>
  <c r="P6" i="1"/>
  <c r="O6" i="1"/>
  <c r="N6" i="1"/>
  <c r="X6" i="1"/>
  <c r="Z5" i="1"/>
  <c r="T6" i="1" l="1"/>
  <c r="M7" i="1"/>
  <c r="R6" i="1"/>
  <c r="S6" i="1" s="1"/>
  <c r="U6" i="1" s="1"/>
  <c r="V6" i="1" s="1"/>
  <c r="W6" i="1" s="1"/>
  <c r="Y6" i="1" s="1"/>
  <c r="Z6" i="1" l="1"/>
  <c r="Q7" i="1"/>
  <c r="P7" i="1"/>
  <c r="O7" i="1"/>
  <c r="T7" i="1" s="1"/>
  <c r="N7" i="1"/>
  <c r="X7" i="1"/>
  <c r="R7" i="1" l="1"/>
  <c r="S7" i="1" s="1"/>
  <c r="U7" i="1" s="1"/>
  <c r="V7" i="1" s="1"/>
  <c r="W7" i="1" s="1"/>
  <c r="Y7" i="1" s="1"/>
  <c r="M8" i="1"/>
  <c r="Z7" i="1" l="1"/>
  <c r="N8" i="1"/>
  <c r="Q8" i="1"/>
  <c r="P8" i="1"/>
  <c r="M9" i="1"/>
  <c r="O8" i="1"/>
  <c r="X8" i="1"/>
  <c r="R8" i="1" l="1"/>
  <c r="S8" i="1" s="1"/>
  <c r="U8" i="1" s="1"/>
  <c r="V8" i="1" s="1"/>
  <c r="W8" i="1" s="1"/>
  <c r="Y8" i="1" s="1"/>
  <c r="Z8" i="1" s="1"/>
  <c r="T8" i="1"/>
  <c r="O9" i="1"/>
  <c r="T9" i="1" s="1"/>
  <c r="Q9" i="1"/>
  <c r="N9" i="1"/>
  <c r="P9" i="1"/>
  <c r="X9" i="1"/>
  <c r="S9" i="1" l="1"/>
  <c r="U9" i="1" s="1"/>
  <c r="V9" i="1" s="1"/>
  <c r="W9" i="1" s="1"/>
  <c r="Y9" i="1" s="1"/>
  <c r="Z9" i="1" s="1"/>
  <c r="R9" i="1"/>
  <c r="M10" i="1"/>
  <c r="Q10" i="1" l="1"/>
  <c r="P10" i="1"/>
  <c r="O10" i="1"/>
  <c r="N10" i="1"/>
  <c r="X10" i="1"/>
  <c r="T10" i="1" l="1"/>
  <c r="M11" i="1"/>
  <c r="R10" i="1"/>
  <c r="S10" i="1" s="1"/>
  <c r="U10" i="1" s="1"/>
  <c r="V10" i="1" s="1"/>
  <c r="W10" i="1" s="1"/>
  <c r="Y10" i="1" s="1"/>
  <c r="Z10" i="1" s="1"/>
  <c r="P11" i="1" l="1"/>
  <c r="O11" i="1"/>
  <c r="N11" i="1"/>
  <c r="Q11" i="1"/>
  <c r="X11" i="1"/>
  <c r="R11" i="1" l="1"/>
  <c r="S11" i="1" s="1"/>
  <c r="U11" i="1" s="1"/>
  <c r="V11" i="1" s="1"/>
  <c r="W11" i="1" s="1"/>
  <c r="Y11" i="1" s="1"/>
  <c r="Z11" i="1" s="1"/>
  <c r="T11" i="1"/>
  <c r="M12" i="1"/>
  <c r="P12" i="1" l="1"/>
  <c r="M13" i="1"/>
  <c r="Q12" i="1"/>
  <c r="O12" i="1"/>
  <c r="N12" i="1"/>
  <c r="X12" i="1"/>
  <c r="P13" i="1" l="1"/>
  <c r="O13" i="1"/>
  <c r="N13" i="1"/>
  <c r="Q13" i="1"/>
  <c r="X13" i="1"/>
  <c r="T12" i="1"/>
  <c r="R12" i="1"/>
  <c r="S12" i="1" s="1"/>
  <c r="U12" i="1" s="1"/>
  <c r="V12" i="1" s="1"/>
  <c r="W12" i="1" s="1"/>
  <c r="Y12" i="1" s="1"/>
  <c r="Z12" i="1" s="1"/>
  <c r="R13" i="1" l="1"/>
  <c r="S13" i="1" s="1"/>
  <c r="U13" i="1" s="1"/>
  <c r="V13" i="1" s="1"/>
  <c r="W13" i="1" s="1"/>
  <c r="Y13" i="1" s="1"/>
  <c r="Z13" i="1" s="1"/>
  <c r="T13" i="1"/>
  <c r="M14" i="1"/>
  <c r="P14" i="1" l="1"/>
  <c r="O14" i="1"/>
  <c r="N14" i="1"/>
  <c r="Q14" i="1"/>
  <c r="M15" i="1"/>
  <c r="X14" i="1"/>
  <c r="P15" i="1" l="1"/>
  <c r="Q15" i="1"/>
  <c r="O15" i="1"/>
  <c r="N15" i="1"/>
  <c r="X15" i="1"/>
  <c r="R14" i="1"/>
  <c r="S14" i="1" s="1"/>
  <c r="U14" i="1" s="1"/>
  <c r="V14" i="1" s="1"/>
  <c r="W14" i="1" s="1"/>
  <c r="Y14" i="1" s="1"/>
  <c r="Z14" i="1" s="1"/>
  <c r="T14" i="1"/>
  <c r="T15" i="1" l="1"/>
  <c r="M16" i="1"/>
  <c r="S15" i="1"/>
  <c r="U15" i="1" s="1"/>
  <c r="V15" i="1" s="1"/>
  <c r="W15" i="1" s="1"/>
  <c r="Y15" i="1" s="1"/>
  <c r="Z15" i="1" s="1"/>
  <c r="R15" i="1"/>
  <c r="N16" i="1" l="1"/>
  <c r="Q16" i="1"/>
  <c r="P16" i="1"/>
  <c r="O16" i="1"/>
  <c r="X16" i="1"/>
  <c r="T16" i="1" l="1"/>
  <c r="M17" i="1"/>
  <c r="R16" i="1"/>
  <c r="S16" i="1" s="1"/>
  <c r="U16" i="1" s="1"/>
  <c r="V16" i="1" s="1"/>
  <c r="W16" i="1" s="1"/>
  <c r="Y16" i="1" s="1"/>
  <c r="Z16" i="1" s="1"/>
  <c r="Q17" i="1" l="1"/>
  <c r="M18" i="1"/>
  <c r="P17" i="1"/>
  <c r="N17" i="1"/>
  <c r="O17" i="1"/>
  <c r="X17" i="1"/>
  <c r="P18" i="1" l="1"/>
  <c r="Q18" i="1"/>
  <c r="O18" i="1"/>
  <c r="T18" i="1" s="1"/>
  <c r="N18" i="1"/>
  <c r="T17" i="1"/>
  <c r="X18" i="1"/>
  <c r="R17" i="1"/>
  <c r="S17" i="1" s="1"/>
  <c r="U17" i="1" s="1"/>
  <c r="V17" i="1" s="1"/>
  <c r="W17" i="1" s="1"/>
  <c r="Y17" i="1" s="1"/>
  <c r="Z17" i="1" s="1"/>
  <c r="R18" i="1" l="1"/>
  <c r="S18" i="1" s="1"/>
  <c r="U18" i="1" s="1"/>
  <c r="V18" i="1" s="1"/>
  <c r="W18" i="1" s="1"/>
  <c r="Y18" i="1" s="1"/>
  <c r="Z18" i="1" s="1"/>
  <c r="M19" i="1"/>
  <c r="P19" i="1" l="1"/>
  <c r="O19" i="1"/>
  <c r="N19" i="1"/>
  <c r="M20" i="1"/>
  <c r="Q19" i="1"/>
  <c r="X20" i="1"/>
  <c r="X19" i="1"/>
  <c r="P20" i="1" l="1"/>
  <c r="O20" i="1"/>
  <c r="T20" i="1" s="1"/>
  <c r="N20" i="1"/>
  <c r="Q20" i="1"/>
  <c r="R19" i="1"/>
  <c r="S19" i="1" s="1"/>
  <c r="U19" i="1" s="1"/>
  <c r="V19" i="1" s="1"/>
  <c r="W19" i="1" s="1"/>
  <c r="Y19" i="1" s="1"/>
  <c r="Z19" i="1" s="1"/>
  <c r="T19" i="1"/>
  <c r="R20" i="1" l="1"/>
  <c r="S20" i="1" s="1"/>
  <c r="U20" i="1" s="1"/>
  <c r="V20" i="1" s="1"/>
  <c r="W20" i="1" s="1"/>
  <c r="Y20" i="1" s="1"/>
  <c r="Z20" i="1" s="1"/>
  <c r="M21" i="1"/>
  <c r="P21" i="1" l="1"/>
  <c r="O21" i="1"/>
  <c r="N21" i="1"/>
  <c r="Q21" i="1"/>
  <c r="M22" i="1"/>
  <c r="X21" i="1"/>
  <c r="P22" i="1" l="1"/>
  <c r="Q22" i="1"/>
  <c r="O22" i="1"/>
  <c r="T22" i="1" s="1"/>
  <c r="N22" i="1"/>
  <c r="T21" i="1"/>
  <c r="X22" i="1"/>
  <c r="R21" i="1"/>
  <c r="S21" i="1" s="1"/>
  <c r="U21" i="1" s="1"/>
  <c r="V21" i="1" s="1"/>
  <c r="W21" i="1" s="1"/>
  <c r="Y21" i="1" s="1"/>
  <c r="Z21" i="1" s="1"/>
  <c r="R22" i="1" l="1"/>
  <c r="S22" i="1" s="1"/>
  <c r="U22" i="1" s="1"/>
  <c r="V22" i="1" s="1"/>
  <c r="W22" i="1" s="1"/>
  <c r="Y22" i="1" s="1"/>
  <c r="Z22" i="1" s="1"/>
  <c r="M23" i="1"/>
  <c r="N23" i="1" l="1"/>
  <c r="Q23" i="1"/>
  <c r="P23" i="1"/>
  <c r="O23" i="1"/>
  <c r="T23" i="1" s="1"/>
  <c r="X23" i="1"/>
  <c r="M24" i="1" l="1"/>
  <c r="R23" i="1"/>
  <c r="S23" i="1" s="1"/>
  <c r="U23" i="1" s="1"/>
  <c r="V23" i="1" s="1"/>
  <c r="W23" i="1" s="1"/>
  <c r="Y23" i="1" s="1"/>
  <c r="Z23" i="1" s="1"/>
  <c r="N24" i="1" l="1"/>
  <c r="O24" i="1"/>
  <c r="Q24" i="1"/>
  <c r="P24" i="1"/>
  <c r="X24" i="1"/>
  <c r="T24" i="1" l="1"/>
  <c r="R24" i="1"/>
  <c r="S24" i="1" s="1"/>
  <c r="U24" i="1" s="1"/>
  <c r="V24" i="1" s="1"/>
  <c r="W24" i="1" s="1"/>
  <c r="Y24" i="1" s="1"/>
  <c r="Z24" i="1" s="1"/>
  <c r="M25" i="1"/>
  <c r="Q25" i="1" l="1"/>
  <c r="P25" i="1"/>
  <c r="O25" i="1"/>
  <c r="T25" i="1" s="1"/>
  <c r="N25" i="1"/>
  <c r="X25" i="1"/>
  <c r="M26" i="1" l="1"/>
  <c r="R25" i="1"/>
  <c r="S25" i="1" s="1"/>
  <c r="U25" i="1" s="1"/>
  <c r="V25" i="1" s="1"/>
  <c r="W25" i="1" s="1"/>
  <c r="Y25" i="1" s="1"/>
  <c r="Z25" i="1" s="1"/>
  <c r="P26" i="1" l="1"/>
  <c r="O26" i="1"/>
  <c r="T26" i="1" s="1"/>
  <c r="Q26" i="1"/>
  <c r="N26" i="1"/>
  <c r="X26" i="1"/>
  <c r="R26" i="1" l="1"/>
  <c r="S26" i="1" s="1"/>
  <c r="U26" i="1" s="1"/>
  <c r="V26" i="1" s="1"/>
  <c r="W26" i="1" s="1"/>
  <c r="Y26" i="1" s="1"/>
  <c r="Z26" i="1" s="1"/>
  <c r="M27" i="1"/>
  <c r="N27" i="1" l="1"/>
  <c r="P27" i="1"/>
  <c r="Q27" i="1"/>
  <c r="O27" i="1"/>
  <c r="X27" i="1"/>
  <c r="R27" i="1" l="1"/>
  <c r="S27" i="1" s="1"/>
  <c r="U27" i="1" s="1"/>
  <c r="V27" i="1" s="1"/>
  <c r="W27" i="1" s="1"/>
  <c r="Y27" i="1" s="1"/>
  <c r="Z27" i="1" s="1"/>
  <c r="T27" i="1"/>
  <c r="M28" i="1"/>
  <c r="M29" i="1" l="1"/>
  <c r="P28" i="1"/>
  <c r="Q28" i="1"/>
  <c r="O28" i="1"/>
  <c r="N28" i="1"/>
  <c r="X29" i="1"/>
  <c r="X28" i="1"/>
  <c r="P29" i="1" l="1"/>
  <c r="O29" i="1"/>
  <c r="T29" i="1" s="1"/>
  <c r="Q29" i="1"/>
  <c r="N29" i="1"/>
  <c r="R28" i="1"/>
  <c r="S28" i="1" s="1"/>
  <c r="U28" i="1" s="1"/>
  <c r="V28" i="1" s="1"/>
  <c r="W28" i="1" s="1"/>
  <c r="Y28" i="1" s="1"/>
  <c r="Z28" i="1" s="1"/>
  <c r="T28" i="1"/>
  <c r="M30" i="1" l="1"/>
  <c r="R29" i="1"/>
  <c r="S29" i="1" s="1"/>
  <c r="U29" i="1" s="1"/>
  <c r="V29" i="1" s="1"/>
  <c r="W29" i="1" s="1"/>
  <c r="Y29" i="1" s="1"/>
  <c r="Z29" i="1" s="1"/>
  <c r="M31" i="1" l="1"/>
  <c r="X31" i="1" s="1"/>
  <c r="Q30" i="1"/>
  <c r="P30" i="1"/>
  <c r="O30" i="1"/>
  <c r="T30" i="1" s="1"/>
  <c r="N30" i="1"/>
  <c r="X30" i="1"/>
  <c r="S30" i="1" l="1"/>
  <c r="U30" i="1" s="1"/>
  <c r="V30" i="1" s="1"/>
  <c r="W30" i="1" s="1"/>
  <c r="Y30" i="1" s="1"/>
  <c r="Z30" i="1" s="1"/>
  <c r="R30" i="1"/>
  <c r="Q31" i="1"/>
  <c r="P31" i="1"/>
  <c r="N31" i="1"/>
  <c r="O31" i="1"/>
  <c r="T31" i="1" s="1"/>
  <c r="M32" i="1" l="1"/>
  <c r="R31" i="1"/>
  <c r="S31" i="1" s="1"/>
  <c r="U31" i="1" s="1"/>
  <c r="V31" i="1" s="1"/>
  <c r="W31" i="1" s="1"/>
  <c r="Y31" i="1" s="1"/>
  <c r="Z31" i="1" s="1"/>
  <c r="O32" i="1" l="1"/>
  <c r="T32" i="1" s="1"/>
  <c r="N32" i="1"/>
  <c r="Q32" i="1"/>
  <c r="P32" i="1"/>
  <c r="X32" i="1"/>
  <c r="M33" i="1" l="1"/>
  <c r="R32" i="1"/>
  <c r="S32" i="1" s="1"/>
  <c r="U32" i="1" s="1"/>
  <c r="V32" i="1" s="1"/>
  <c r="W32" i="1" s="1"/>
  <c r="Y32" i="1" s="1"/>
  <c r="Z32" i="1" s="1"/>
  <c r="Q33" i="1" l="1"/>
  <c r="O33" i="1"/>
  <c r="N33" i="1"/>
  <c r="M34" i="1"/>
  <c r="X34" i="1"/>
  <c r="P33" i="1"/>
  <c r="X33" i="1"/>
  <c r="S33" i="1" l="1"/>
  <c r="U33" i="1" s="1"/>
  <c r="V33" i="1" s="1"/>
  <c r="W33" i="1" s="1"/>
  <c r="Y33" i="1" s="1"/>
  <c r="Z33" i="1" s="1"/>
  <c r="R33" i="1"/>
  <c r="N34" i="1"/>
  <c r="O34" i="1"/>
  <c r="Q34" i="1"/>
  <c r="P34" i="1"/>
  <c r="T33" i="1"/>
  <c r="T34" i="1" l="1"/>
  <c r="R34" i="1"/>
  <c r="S34" i="1" s="1"/>
  <c r="U34" i="1" s="1"/>
  <c r="V34" i="1" s="1"/>
  <c r="W34" i="1" s="1"/>
  <c r="Y34" i="1" s="1"/>
  <c r="Z34" i="1" s="1"/>
  <c r="M35" i="1"/>
  <c r="M36" i="1" l="1"/>
  <c r="Q35" i="1"/>
  <c r="X36" i="1"/>
  <c r="P35" i="1"/>
  <c r="N35" i="1"/>
  <c r="O35" i="1"/>
  <c r="X35" i="1"/>
  <c r="N36" i="1" l="1"/>
  <c r="P36" i="1"/>
  <c r="O36" i="1"/>
  <c r="M37" i="1"/>
  <c r="Q36" i="1"/>
  <c r="T35" i="1"/>
  <c r="R35" i="1"/>
  <c r="S35" i="1" s="1"/>
  <c r="U35" i="1" s="1"/>
  <c r="V35" i="1" s="1"/>
  <c r="W35" i="1" s="1"/>
  <c r="Y35" i="1" s="1"/>
  <c r="Z35" i="1" s="1"/>
  <c r="R36" i="1" l="1"/>
  <c r="S36" i="1" s="1"/>
  <c r="U36" i="1" s="1"/>
  <c r="V36" i="1" s="1"/>
  <c r="W36" i="1" s="1"/>
  <c r="Y36" i="1" s="1"/>
  <c r="Z36" i="1" s="1"/>
  <c r="N37" i="1"/>
  <c r="P37" i="1"/>
  <c r="O37" i="1"/>
  <c r="Q37" i="1"/>
  <c r="T36" i="1"/>
  <c r="X37" i="1"/>
  <c r="T37" i="1" l="1"/>
  <c r="M38" i="1"/>
  <c r="R37" i="1"/>
  <c r="S37" i="1" s="1"/>
  <c r="U37" i="1" s="1"/>
  <c r="V37" i="1" s="1"/>
  <c r="W37" i="1" s="1"/>
  <c r="Y37" i="1" s="1"/>
  <c r="Z37" i="1" s="1"/>
  <c r="X39" i="1" l="1"/>
  <c r="P38" i="1"/>
  <c r="O38" i="1"/>
  <c r="Q38" i="1"/>
  <c r="M39" i="1"/>
  <c r="N38" i="1"/>
  <c r="X38" i="1"/>
  <c r="R38" i="1" l="1"/>
  <c r="S38" i="1" s="1"/>
  <c r="U38" i="1" s="1"/>
  <c r="V38" i="1" s="1"/>
  <c r="W38" i="1" s="1"/>
  <c r="Y38" i="1" s="1"/>
  <c r="Z38" i="1" s="1"/>
  <c r="P39" i="1"/>
  <c r="Q39" i="1"/>
  <c r="O39" i="1"/>
  <c r="T39" i="1" s="1"/>
  <c r="M40" i="1"/>
  <c r="N39" i="1"/>
  <c r="T38" i="1"/>
  <c r="R39" i="1" l="1"/>
  <c r="S39" i="1" s="1"/>
  <c r="U39" i="1" s="1"/>
  <c r="V39" i="1" s="1"/>
  <c r="W39" i="1" s="1"/>
  <c r="Y39" i="1" s="1"/>
  <c r="Z39" i="1" s="1"/>
  <c r="Q40" i="1"/>
  <c r="O40" i="1"/>
  <c r="N40" i="1"/>
  <c r="P40" i="1"/>
  <c r="M41" i="1"/>
  <c r="X41" i="1"/>
  <c r="X40" i="1"/>
  <c r="R40" i="1" l="1"/>
  <c r="S40" i="1" s="1"/>
  <c r="U40" i="1" s="1"/>
  <c r="V40" i="1" s="1"/>
  <c r="W40" i="1" s="1"/>
  <c r="Y40" i="1" s="1"/>
  <c r="Z40" i="1" s="1"/>
  <c r="Q41" i="1"/>
  <c r="P41" i="1"/>
  <c r="N41" i="1"/>
  <c r="O41" i="1"/>
  <c r="M42" i="1"/>
  <c r="T40" i="1"/>
  <c r="M43" i="1" l="1"/>
  <c r="Q42" i="1"/>
  <c r="P42" i="1"/>
  <c r="N42" i="1"/>
  <c r="O42" i="1"/>
  <c r="X42" i="1"/>
  <c r="R41" i="1"/>
  <c r="S41" i="1" s="1"/>
  <c r="U41" i="1" s="1"/>
  <c r="V41" i="1" s="1"/>
  <c r="W41" i="1" s="1"/>
  <c r="Y41" i="1" s="1"/>
  <c r="Z41" i="1" s="1"/>
  <c r="T41" i="1"/>
  <c r="N43" i="1" l="1"/>
  <c r="O43" i="1"/>
  <c r="P43" i="1"/>
  <c r="Q43" i="1"/>
  <c r="T42" i="1"/>
  <c r="R42" i="1"/>
  <c r="S42" i="1" s="1"/>
  <c r="U42" i="1" s="1"/>
  <c r="V42" i="1" s="1"/>
  <c r="W42" i="1" s="1"/>
  <c r="Y42" i="1" s="1"/>
  <c r="Z42" i="1" s="1"/>
  <c r="X43" i="1"/>
  <c r="S43" i="1" l="1"/>
  <c r="U43" i="1" s="1"/>
  <c r="V43" i="1" s="1"/>
  <c r="W43" i="1" s="1"/>
  <c r="Y43" i="1" s="1"/>
  <c r="Z43" i="1" s="1"/>
  <c r="R43" i="1"/>
  <c r="T43" i="1"/>
  <c r="M44" i="1"/>
  <c r="N44" i="1" l="1"/>
  <c r="M45" i="1"/>
  <c r="O44" i="1"/>
  <c r="P44" i="1"/>
  <c r="Q44" i="1"/>
  <c r="X44" i="1"/>
  <c r="P45" i="1" l="1"/>
  <c r="O45" i="1"/>
  <c r="T45" i="1" s="1"/>
  <c r="N45" i="1"/>
  <c r="Q45" i="1"/>
  <c r="R44" i="1"/>
  <c r="S44" i="1" s="1"/>
  <c r="U44" i="1" s="1"/>
  <c r="V44" i="1" s="1"/>
  <c r="W44" i="1" s="1"/>
  <c r="Y44" i="1" s="1"/>
  <c r="Z44" i="1" s="1"/>
  <c r="T44" i="1"/>
  <c r="X45" i="1"/>
  <c r="R45" i="1" l="1"/>
  <c r="S45" i="1" s="1"/>
  <c r="U45" i="1" s="1"/>
  <c r="V45" i="1" s="1"/>
  <c r="W45" i="1" s="1"/>
  <c r="Y45" i="1" s="1"/>
  <c r="Z45" i="1" s="1"/>
  <c r="M46" i="1"/>
  <c r="P46" i="1" l="1"/>
  <c r="N46" i="1"/>
  <c r="M47" i="1"/>
  <c r="Q46" i="1"/>
  <c r="O46" i="1"/>
  <c r="X46" i="1"/>
  <c r="Q47" i="1" l="1"/>
  <c r="O47" i="1"/>
  <c r="N47" i="1"/>
  <c r="P47" i="1"/>
  <c r="X47" i="1"/>
  <c r="T46" i="1"/>
  <c r="R46" i="1"/>
  <c r="S46" i="1" s="1"/>
  <c r="U46" i="1" s="1"/>
  <c r="V46" i="1" s="1"/>
  <c r="W46" i="1" s="1"/>
  <c r="Y46" i="1" s="1"/>
  <c r="Z46" i="1" s="1"/>
  <c r="R47" i="1" l="1"/>
  <c r="S47" i="1" s="1"/>
  <c r="U47" i="1" s="1"/>
  <c r="V47" i="1" s="1"/>
  <c r="W47" i="1" s="1"/>
  <c r="Y47" i="1" s="1"/>
  <c r="Z47" i="1" s="1"/>
  <c r="T47" i="1"/>
  <c r="M48" i="1"/>
  <c r="P48" i="1" l="1"/>
  <c r="Q48" i="1"/>
  <c r="O48" i="1"/>
  <c r="T48" i="1" s="1"/>
  <c r="N48" i="1"/>
  <c r="X48" i="1"/>
  <c r="R48" i="1" l="1"/>
  <c r="S48" i="1" s="1"/>
  <c r="U48" i="1" s="1"/>
  <c r="V48" i="1" s="1"/>
  <c r="W48" i="1" s="1"/>
  <c r="Y48" i="1" s="1"/>
  <c r="Z48" i="1" s="1"/>
  <c r="M49" i="1"/>
  <c r="Q49" i="1" l="1"/>
  <c r="P49" i="1"/>
  <c r="O49" i="1"/>
  <c r="M50" i="1" s="1"/>
  <c r="N49" i="1"/>
  <c r="X49" i="1"/>
  <c r="N50" i="1" l="1"/>
  <c r="M51" i="1"/>
  <c r="P50" i="1"/>
  <c r="Q50" i="1"/>
  <c r="O50" i="1"/>
  <c r="X50" i="1"/>
  <c r="R49" i="1"/>
  <c r="S49" i="1" s="1"/>
  <c r="U49" i="1" s="1"/>
  <c r="V49" i="1" s="1"/>
  <c r="W49" i="1" s="1"/>
  <c r="Y49" i="1" s="1"/>
  <c r="Z49" i="1" s="1"/>
  <c r="T49" i="1"/>
  <c r="N51" i="1" l="1"/>
  <c r="O51" i="1"/>
  <c r="Q51" i="1"/>
  <c r="P51" i="1"/>
  <c r="X51" i="1"/>
  <c r="R50" i="1"/>
  <c r="S50" i="1" s="1"/>
  <c r="U50" i="1" s="1"/>
  <c r="V50" i="1" s="1"/>
  <c r="W50" i="1" s="1"/>
  <c r="Y50" i="1" s="1"/>
  <c r="Z50" i="1" s="1"/>
  <c r="T50" i="1"/>
  <c r="T51" i="1" l="1"/>
  <c r="M52" i="1"/>
  <c r="R51" i="1"/>
  <c r="S51" i="1" s="1"/>
  <c r="U51" i="1" s="1"/>
  <c r="V51" i="1" s="1"/>
  <c r="W51" i="1" s="1"/>
  <c r="Y51" i="1" s="1"/>
  <c r="Z51" i="1" s="1"/>
  <c r="X53" i="1" l="1"/>
  <c r="P52" i="1"/>
  <c r="O52" i="1"/>
  <c r="Q52" i="1"/>
  <c r="N52" i="1"/>
  <c r="M53" i="1"/>
  <c r="X52" i="1"/>
  <c r="P53" i="1" l="1"/>
  <c r="O53" i="1"/>
  <c r="T53" i="1" s="1"/>
  <c r="N53" i="1"/>
  <c r="Q53" i="1"/>
  <c r="R52" i="1"/>
  <c r="S52" i="1" s="1"/>
  <c r="U52" i="1" s="1"/>
  <c r="V52" i="1" s="1"/>
  <c r="W52" i="1" s="1"/>
  <c r="Y52" i="1" s="1"/>
  <c r="Z52" i="1" s="1"/>
  <c r="T52" i="1"/>
  <c r="M54" i="1" l="1"/>
  <c r="S53" i="1"/>
  <c r="U53" i="1" s="1"/>
  <c r="V53" i="1" s="1"/>
  <c r="W53" i="1" s="1"/>
  <c r="Y53" i="1" s="1"/>
  <c r="Z53" i="1" s="1"/>
  <c r="R53" i="1"/>
  <c r="Q54" i="1" l="1"/>
  <c r="O54" i="1"/>
  <c r="T54" i="1" s="1"/>
  <c r="N54" i="1"/>
  <c r="P54" i="1"/>
  <c r="X54" i="1"/>
  <c r="R54" i="1" l="1"/>
  <c r="S54" i="1" s="1"/>
  <c r="U54" i="1" s="1"/>
  <c r="V54" i="1" s="1"/>
  <c r="W54" i="1" s="1"/>
  <c r="Y54" i="1" s="1"/>
  <c r="Z54" i="1" s="1"/>
  <c r="M55" i="1"/>
  <c r="Q55" i="1" l="1"/>
  <c r="P55" i="1"/>
  <c r="O55" i="1"/>
  <c r="T55" i="1" s="1"/>
  <c r="N55" i="1"/>
  <c r="X55" i="1"/>
  <c r="R55" i="1" l="1"/>
  <c r="S55" i="1" s="1"/>
  <c r="U55" i="1" s="1"/>
  <c r="V55" i="1" s="1"/>
  <c r="W55" i="1" s="1"/>
  <c r="Y55" i="1" s="1"/>
  <c r="Z55" i="1" s="1"/>
  <c r="M56" i="1"/>
  <c r="M57" i="1" l="1"/>
  <c r="Q56" i="1"/>
  <c r="X57" i="1"/>
  <c r="P56" i="1"/>
  <c r="O56" i="1"/>
  <c r="N56" i="1"/>
  <c r="X56" i="1"/>
  <c r="N57" i="1" l="1"/>
  <c r="Q57" i="1"/>
  <c r="M58" i="1"/>
  <c r="P57" i="1"/>
  <c r="O57" i="1"/>
  <c r="R56" i="1"/>
  <c r="S56" i="1" s="1"/>
  <c r="U56" i="1" s="1"/>
  <c r="V56" i="1" s="1"/>
  <c r="W56" i="1" s="1"/>
  <c r="Y56" i="1" s="1"/>
  <c r="Z56" i="1" s="1"/>
  <c r="T56" i="1"/>
  <c r="N58" i="1" l="1"/>
  <c r="M59" i="1"/>
  <c r="X59" i="1"/>
  <c r="Q58" i="1"/>
  <c r="P58" i="1"/>
  <c r="O58" i="1"/>
  <c r="X58" i="1"/>
  <c r="R57" i="1"/>
  <c r="S57" i="1" s="1"/>
  <c r="U57" i="1" s="1"/>
  <c r="V57" i="1" s="1"/>
  <c r="W57" i="1" s="1"/>
  <c r="Y57" i="1" s="1"/>
  <c r="Z57" i="1" s="1"/>
  <c r="T57" i="1"/>
  <c r="X60" i="1" l="1"/>
  <c r="P59" i="1"/>
  <c r="O59" i="1"/>
  <c r="N59" i="1"/>
  <c r="Q59" i="1"/>
  <c r="M60" i="1"/>
  <c r="R58" i="1"/>
  <c r="S58" i="1" s="1"/>
  <c r="U58" i="1" s="1"/>
  <c r="V58" i="1" s="1"/>
  <c r="W58" i="1" s="1"/>
  <c r="Y58" i="1" s="1"/>
  <c r="Z58" i="1" s="1"/>
  <c r="T58" i="1"/>
  <c r="X61" i="1" l="1"/>
  <c r="P60" i="1"/>
  <c r="Q60" i="1"/>
  <c r="O60" i="1"/>
  <c r="N60" i="1"/>
  <c r="M61" i="1"/>
  <c r="R59" i="1"/>
  <c r="S59" i="1" s="1"/>
  <c r="U59" i="1" s="1"/>
  <c r="V59" i="1" s="1"/>
  <c r="W59" i="1" s="1"/>
  <c r="Y59" i="1" s="1"/>
  <c r="Z59" i="1" s="1"/>
  <c r="T59" i="1"/>
  <c r="Q61" i="1" l="1"/>
  <c r="O61" i="1"/>
  <c r="T61" i="1" s="1"/>
  <c r="N61" i="1"/>
  <c r="P61" i="1"/>
  <c r="R60" i="1"/>
  <c r="S60" i="1" s="1"/>
  <c r="U60" i="1" s="1"/>
  <c r="V60" i="1" s="1"/>
  <c r="W60" i="1" s="1"/>
  <c r="Y60" i="1" s="1"/>
  <c r="Z60" i="1" s="1"/>
  <c r="T60" i="1"/>
  <c r="M62" i="1" l="1"/>
  <c r="R61" i="1"/>
  <c r="S61" i="1" s="1"/>
  <c r="U61" i="1" s="1"/>
  <c r="V61" i="1" s="1"/>
  <c r="W61" i="1" s="1"/>
  <c r="Y61" i="1" s="1"/>
  <c r="Z61" i="1" s="1"/>
  <c r="N62" i="1" l="1"/>
  <c r="M63" i="1"/>
  <c r="O62" i="1"/>
  <c r="Q62" i="1"/>
  <c r="P62" i="1"/>
  <c r="X62" i="1"/>
  <c r="M64" i="1" l="1"/>
  <c r="Q63" i="1"/>
  <c r="X64" i="1"/>
  <c r="P63" i="1"/>
  <c r="N63" i="1"/>
  <c r="O63" i="1"/>
  <c r="R62" i="1"/>
  <c r="S62" i="1" s="1"/>
  <c r="U62" i="1" s="1"/>
  <c r="V62" i="1" s="1"/>
  <c r="W62" i="1" s="1"/>
  <c r="Y62" i="1" s="1"/>
  <c r="Z62" i="1" s="1"/>
  <c r="X63" i="1"/>
  <c r="T62" i="1"/>
  <c r="X65" i="1" l="1"/>
  <c r="N64" i="1"/>
  <c r="Q64" i="1"/>
  <c r="P64" i="1"/>
  <c r="O64" i="1"/>
  <c r="M65" i="1"/>
  <c r="T63" i="1"/>
  <c r="R63" i="1"/>
  <c r="S63" i="1" s="1"/>
  <c r="U63" i="1" s="1"/>
  <c r="V63" i="1" s="1"/>
  <c r="W63" i="1" s="1"/>
  <c r="Y63" i="1" s="1"/>
  <c r="Z63" i="1" s="1"/>
  <c r="R64" i="1" l="1"/>
  <c r="S64" i="1" s="1"/>
  <c r="U64" i="1" s="1"/>
  <c r="V64" i="1" s="1"/>
  <c r="W64" i="1" s="1"/>
  <c r="Y64" i="1" s="1"/>
  <c r="Z64" i="1" s="1"/>
  <c r="N65" i="1"/>
  <c r="Q65" i="1"/>
  <c r="P65" i="1"/>
  <c r="O65" i="1"/>
  <c r="T64" i="1"/>
  <c r="R65" i="1" l="1"/>
  <c r="S65" i="1" s="1"/>
  <c r="U65" i="1" s="1"/>
  <c r="V65" i="1" s="1"/>
  <c r="W65" i="1" s="1"/>
  <c r="Y65" i="1" s="1"/>
  <c r="T65" i="1"/>
  <c r="Y66" i="1" l="1"/>
  <c r="Z65" i="1"/>
</calcChain>
</file>

<file path=xl/sharedStrings.xml><?xml version="1.0" encoding="utf-8"?>
<sst xmlns="http://schemas.openxmlformats.org/spreadsheetml/2006/main" count="61" uniqueCount="51">
  <si>
    <t>Water properties at 24 MPa</t>
  </si>
  <si>
    <t>https://webbook.nist.gov/chemistry/fluid/</t>
  </si>
  <si>
    <t>delta Q</t>
  </si>
  <si>
    <t>Coolant salt</t>
  </si>
  <si>
    <t xml:space="preserve">total R </t>
  </si>
  <si>
    <t>LMTD</t>
  </si>
  <si>
    <t xml:space="preserve">delta L </t>
  </si>
  <si>
    <t>tube</t>
  </si>
  <si>
    <t>T (K)</t>
  </si>
  <si>
    <t>Density (kg/m3)</t>
  </si>
  <si>
    <t>Cp (J/g*K)</t>
  </si>
  <si>
    <t>Viscosity (uPa*s)</t>
  </si>
  <si>
    <t>Therm. Cond. (W/m*K)</t>
  </si>
  <si>
    <t>Enthalpy (kJ/kg)</t>
  </si>
  <si>
    <t>v (m/s)</t>
  </si>
  <si>
    <t>Re</t>
  </si>
  <si>
    <t>Pr</t>
  </si>
  <si>
    <t>Nu</t>
  </si>
  <si>
    <t>h (W/Km2)</t>
  </si>
  <si>
    <t>(kW)</t>
  </si>
  <si>
    <t>Viscosity (Pa*s)</t>
  </si>
  <si>
    <t>(m2K/kW)</t>
  </si>
  <si>
    <t>(K)</t>
  </si>
  <si>
    <t>(m)</t>
  </si>
  <si>
    <t>length (m)</t>
  </si>
  <si>
    <t>Q_S/G (MW)</t>
  </si>
  <si>
    <t>water outlet temperature (K)</t>
  </si>
  <si>
    <t>water inlet temperature (K)</t>
  </si>
  <si>
    <t>water mass flow rate (kg/s)</t>
  </si>
  <si>
    <t># of steam tubes</t>
  </si>
  <si>
    <t>tube ID (cm)</t>
  </si>
  <si>
    <t>tube thickness (mm)</t>
  </si>
  <si>
    <t>tubeOD (cm)</t>
  </si>
  <si>
    <t>tube area (cm2)</t>
  </si>
  <si>
    <t>tube ciecumference (cm)</t>
  </si>
  <si>
    <t>heat transfer per tube (kW)</t>
  </si>
  <si>
    <t>flow rate per tube (kg/s)</t>
  </si>
  <si>
    <t>salt outlet temperature (K)</t>
  </si>
  <si>
    <t>salt inlet temperature (K)</t>
  </si>
  <si>
    <t>salt mid temperature (K)</t>
  </si>
  <si>
    <t>salt mass flow rate (kg/s)</t>
  </si>
  <si>
    <t># of salt tubes</t>
  </si>
  <si>
    <t>salt property correlations</t>
  </si>
  <si>
    <t>density (kg/m3)</t>
  </si>
  <si>
    <t>heat capacity (J/g-K)</t>
  </si>
  <si>
    <t>viscosity (kg/m-s)</t>
  </si>
  <si>
    <t>heat conductivity (W/m-K)</t>
  </si>
  <si>
    <t>steel conductivity (W/K/m)</t>
  </si>
  <si>
    <t>tube contact resistance (m2K/kW)</t>
  </si>
  <si>
    <t>contact width (m)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</si>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</sst>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  <xf numFmtId="167" fontId="1" fillId="0" borderId="0" xfId="0" applyNumberFormat="1" applyFont="1"/>
    <xf numFmtId="0" fontId="1" fillId="2" borderId="0" xfId="0" applyFont="1" applyFill="1"/>
    <xf numFmtId="165" fontId="1" fillId="0" borderId="0" xfId="0" applyNumberFormat="1" applyFont="1"/>
    <xf numFmtId="0" fontId="5" fillId="0" borderId="0" xfId="0" applyFont="1"/>
    <xf numFmtId="166" fontId="1" fillId="0" borderId="0" xfId="0" applyNumberFormat="1" applyFont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1004302900799"/>
          <c:y val="5.0925925925925923E-2"/>
          <c:w val="0.84959776171101287"/>
          <c:h val="0.81490740740740741"/>
        </c:manualLayout>
      </c:layout>
      <c:scatterChart>
        <c:scatterStyle val="smoothMarker"/>
        <c:varyColors val="0"/>
        <c:ser>
          <c:idx val="0"/>
          <c:order val="0"/>
          <c:tx>
            <c:v>coolant salt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counter!$Z$3:$Z$65</c:f>
              <c:numCache>
                <c:formatCode>0.00</c:formatCode>
                <c:ptCount val="63"/>
                <c:pt idx="0" formatCode="General">
                  <c:v>0</c:v>
                </c:pt>
                <c:pt idx="1">
                  <c:v>8.4033462317657209E-2</c:v>
                </c:pt>
                <c:pt idx="2">
                  <c:v>0.17055355504380371</c:v>
                </c:pt>
                <c:pt idx="3">
                  <c:v>0.25962534911461066</c:v>
                </c:pt>
                <c:pt idx="4">
                  <c:v>0.35166017967522861</c:v>
                </c:pt>
                <c:pt idx="5">
                  <c:v>0.44637752090620408</c:v>
                </c:pt>
                <c:pt idx="6">
                  <c:v>0.54455076413637171</c:v>
                </c:pt>
                <c:pt idx="7">
                  <c:v>0.64661325775041256</c:v>
                </c:pt>
                <c:pt idx="8">
                  <c:v>0.75263923420130063</c:v>
                </c:pt>
                <c:pt idx="9">
                  <c:v>0.86306183477429377</c:v>
                </c:pt>
                <c:pt idx="10">
                  <c:v>0.9790608686172364</c:v>
                </c:pt>
                <c:pt idx="11">
                  <c:v>1.1010638627248079</c:v>
                </c:pt>
                <c:pt idx="12">
                  <c:v>1.2302318750830135</c:v>
                </c:pt>
                <c:pt idx="13">
                  <c:v>1.3684484926549563</c:v>
                </c:pt>
                <c:pt idx="14">
                  <c:v>1.5174812577381609</c:v>
                </c:pt>
                <c:pt idx="15">
                  <c:v>1.6811593844772614</c:v>
                </c:pt>
                <c:pt idx="16">
                  <c:v>1.8665081218593844</c:v>
                </c:pt>
                <c:pt idx="17">
                  <c:v>2.088050595294356</c:v>
                </c:pt>
                <c:pt idx="18">
                  <c:v>2.3877265603684568</c:v>
                </c:pt>
                <c:pt idx="19">
                  <c:v>2.4764473891480439</c:v>
                </c:pt>
                <c:pt idx="20">
                  <c:v>2.587079194282178</c:v>
                </c:pt>
                <c:pt idx="21">
                  <c:v>2.7368160606182519</c:v>
                </c:pt>
                <c:pt idx="22">
                  <c:v>2.9756443235869905</c:v>
                </c:pt>
                <c:pt idx="23">
                  <c:v>3.3136613257483565</c:v>
                </c:pt>
                <c:pt idx="24">
                  <c:v>3.5512281381126036</c:v>
                </c:pt>
                <c:pt idx="25">
                  <c:v>3.71688527396313</c:v>
                </c:pt>
                <c:pt idx="26">
                  <c:v>3.8470533473389334</c:v>
                </c:pt>
                <c:pt idx="27">
                  <c:v>3.9563828756444686</c:v>
                </c:pt>
                <c:pt idx="28">
                  <c:v>4.0526435626251827</c:v>
                </c:pt>
                <c:pt idx="29">
                  <c:v>4.4462470392564981</c:v>
                </c:pt>
                <c:pt idx="30">
                  <c:v>4.7488191637434145</c:v>
                </c:pt>
                <c:pt idx="31">
                  <c:v>5.0093551097728435</c:v>
                </c:pt>
                <c:pt idx="32">
                  <c:v>5.2454430866628483</c:v>
                </c:pt>
                <c:pt idx="33">
                  <c:v>5.4657843002872823</c:v>
                </c:pt>
                <c:pt idx="34">
                  <c:v>5.6746323642794634</c:v>
                </c:pt>
                <c:pt idx="35">
                  <c:v>5.8759036109564891</c:v>
                </c:pt>
                <c:pt idx="36">
                  <c:v>6.0708901237960546</c:v>
                </c:pt>
                <c:pt idx="37">
                  <c:v>6.2626677017225267</c:v>
                </c:pt>
                <c:pt idx="38">
                  <c:v>6.4509235613791436</c:v>
                </c:pt>
                <c:pt idx="39">
                  <c:v>6.6375753175273884</c:v>
                </c:pt>
                <c:pt idx="40">
                  <c:v>6.82270234083036</c:v>
                </c:pt>
                <c:pt idx="41">
                  <c:v>7.0080219839894742</c:v>
                </c:pt>
                <c:pt idx="42">
                  <c:v>7.1939523084758719</c:v>
                </c:pt>
                <c:pt idx="43">
                  <c:v>7.3801900833085154</c:v>
                </c:pt>
                <c:pt idx="44">
                  <c:v>7.5681598778447148</c:v>
                </c:pt>
                <c:pt idx="45">
                  <c:v>7.7586036149283508</c:v>
                </c:pt>
                <c:pt idx="46">
                  <c:v>7.9505247536145554</c:v>
                </c:pt>
                <c:pt idx="47">
                  <c:v>8.1467200657405474</c:v>
                </c:pt>
                <c:pt idx="48">
                  <c:v>8.3452822055258942</c:v>
                </c:pt>
                <c:pt idx="49">
                  <c:v>8.5483218409550616</c:v>
                </c:pt>
                <c:pt idx="50">
                  <c:v>8.756023687030746</c:v>
                </c:pt>
                <c:pt idx="51">
                  <c:v>8.9697701196331305</c:v>
                </c:pt>
                <c:pt idx="52">
                  <c:v>9.1887156769127074</c:v>
                </c:pt>
                <c:pt idx="53">
                  <c:v>9.4144527611527451</c:v>
                </c:pt>
                <c:pt idx="54">
                  <c:v>9.6474732902078664</c:v>
                </c:pt>
                <c:pt idx="55">
                  <c:v>9.8883593255813818</c:v>
                </c:pt>
                <c:pt idx="56">
                  <c:v>10.139262878111209</c:v>
                </c:pt>
                <c:pt idx="57">
                  <c:v>10.401136285750178</c:v>
                </c:pt>
                <c:pt idx="58">
                  <c:v>10.673438034052815</c:v>
                </c:pt>
                <c:pt idx="59">
                  <c:v>10.960812163165825</c:v>
                </c:pt>
                <c:pt idx="60">
                  <c:v>11.263168691290341</c:v>
                </c:pt>
                <c:pt idx="61">
                  <c:v>11.582413549289631</c:v>
                </c:pt>
                <c:pt idx="62">
                  <c:v>11.920866244234293</c:v>
                </c:pt>
              </c:numCache>
            </c:numRef>
          </c:xVal>
          <c:yVal>
            <c:numRef>
              <c:f>counter!$M$3:$M$65</c:f>
              <c:numCache>
                <c:formatCode>0.0</c:formatCode>
                <c:ptCount val="63"/>
                <c:pt idx="0">
                  <c:v>810</c:v>
                </c:pt>
                <c:pt idx="1">
                  <c:v>810.93797196919843</c:v>
                </c:pt>
                <c:pt idx="2">
                  <c:v>811.89126523145319</c:v>
                </c:pt>
                <c:pt idx="3">
                  <c:v>812.85990090356961</c:v>
                </c:pt>
                <c:pt idx="4">
                  <c:v>813.84762775468414</c:v>
                </c:pt>
                <c:pt idx="5">
                  <c:v>814.85074398739664</c:v>
                </c:pt>
                <c:pt idx="6">
                  <c:v>815.87673370181005</c:v>
                </c:pt>
                <c:pt idx="7">
                  <c:v>816.92936355247139</c:v>
                </c:pt>
                <c:pt idx="8">
                  <c:v>818.00867405602605</c:v>
                </c:pt>
                <c:pt idx="9">
                  <c:v>819.11844344659198</c:v>
                </c:pt>
                <c:pt idx="10">
                  <c:v>820.26993642082618</c:v>
                </c:pt>
                <c:pt idx="11">
                  <c:v>821.46696296084349</c:v>
                </c:pt>
                <c:pt idx="12">
                  <c:v>822.72083031683894</c:v>
                </c:pt>
                <c:pt idx="13">
                  <c:v>824.05036692725889</c:v>
                </c:pt>
                <c:pt idx="14">
                  <c:v>825.47445510793091</c:v>
                </c:pt>
                <c:pt idx="15">
                  <c:v>827.03453975783191</c:v>
                </c:pt>
                <c:pt idx="16">
                  <c:v>828.80973677318241</c:v>
                </c:pt>
                <c:pt idx="17">
                  <c:v>830.97337365556632</c:v>
                </c:pt>
                <c:pt idx="18">
                  <c:v>834.09441325685532</c:v>
                </c:pt>
                <c:pt idx="19">
                  <c:v>835.0434545629696</c:v>
                </c:pt>
                <c:pt idx="20">
                  <c:v>836.2755213487477</c:v>
                </c:pt>
                <c:pt idx="21">
                  <c:v>838.03614146226323</c:v>
                </c:pt>
                <c:pt idx="22">
                  <c:v>841.06989224414644</c:v>
                </c:pt>
                <c:pt idx="23">
                  <c:v>845.39300869040301</c:v>
                </c:pt>
                <c:pt idx="24">
                  <c:v>848.3052072212771</c:v>
                </c:pt>
                <c:pt idx="25">
                  <c:v>850.25451817224041</c:v>
                </c:pt>
                <c:pt idx="26">
                  <c:v>851.73119466481569</c:v>
                </c:pt>
                <c:pt idx="27">
                  <c:v>852.93163222798478</c:v>
                </c:pt>
                <c:pt idx="28">
                  <c:v>853.95793124183194</c:v>
                </c:pt>
                <c:pt idx="29">
                  <c:v>857.69631657502032</c:v>
                </c:pt>
                <c:pt idx="30">
                  <c:v>860.33670336026682</c:v>
                </c:pt>
                <c:pt idx="31">
                  <c:v>862.45406914893942</c:v>
                </c:pt>
                <c:pt idx="32">
                  <c:v>864.25667762422654</c:v>
                </c:pt>
                <c:pt idx="33">
                  <c:v>865.84684104623977</c:v>
                </c:pt>
                <c:pt idx="34">
                  <c:v>867.2775901797736</c:v>
                </c:pt>
                <c:pt idx="35">
                  <c:v>868.59068252744282</c:v>
                </c:pt>
                <c:pt idx="36">
                  <c:v>869.80503408893742</c:v>
                </c:pt>
                <c:pt idx="37">
                  <c:v>870.94729224620608</c:v>
                </c:pt>
                <c:pt idx="38">
                  <c:v>872.02116644436126</c:v>
                </c:pt>
                <c:pt idx="39">
                  <c:v>873.04189368325569</c:v>
                </c:pt>
                <c:pt idx="40">
                  <c:v>874.01323056634078</c:v>
                </c:pt>
                <c:pt idx="41">
                  <c:v>874.94662739337923</c:v>
                </c:pt>
                <c:pt idx="42">
                  <c:v>875.84587327797283</c:v>
                </c:pt>
                <c:pt idx="43">
                  <c:v>876.71092156983343</c:v>
                </c:pt>
                <c:pt idx="44">
                  <c:v>877.54941993453099</c:v>
                </c:pt>
                <c:pt idx="45">
                  <c:v>878.36518253307668</c:v>
                </c:pt>
                <c:pt idx="46">
                  <c:v>879.15433174157408</c:v>
                </c:pt>
                <c:pt idx="47">
                  <c:v>879.92838873832864</c:v>
                </c:pt>
                <c:pt idx="48">
                  <c:v>880.67963080245704</c:v>
                </c:pt>
                <c:pt idx="49">
                  <c:v>881.41573984848105</c:v>
                </c:pt>
                <c:pt idx="50">
                  <c:v>882.13669900485888</c:v>
                </c:pt>
                <c:pt idx="51">
                  <c:v>882.84634851117755</c:v>
                </c:pt>
                <c:pt idx="52">
                  <c:v>883.5408180574708</c:v>
                </c:pt>
                <c:pt idx="53">
                  <c:v>884.22395116235077</c:v>
                </c:pt>
                <c:pt idx="54">
                  <c:v>884.89573609546983</c:v>
                </c:pt>
                <c:pt idx="55">
                  <c:v>885.55616130437113</c:v>
                </c:pt>
                <c:pt idx="56">
                  <c:v>886.20907883277982</c:v>
                </c:pt>
                <c:pt idx="57">
                  <c:v>886.85448126090387</c:v>
                </c:pt>
                <c:pt idx="58">
                  <c:v>887.48849530507425</c:v>
                </c:pt>
                <c:pt idx="59">
                  <c:v>888.11884434968556</c:v>
                </c:pt>
                <c:pt idx="60">
                  <c:v>888.74165650262398</c:v>
                </c:pt>
                <c:pt idx="61">
                  <c:v>889.35692464819874</c:v>
                </c:pt>
                <c:pt idx="62">
                  <c:v>889.96464174772052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16-42A4-A9CA-0B9E0695879E}"/>
            </c:ext>
          </c:extLst>
        </c:ser>
        <c:ser>
          <c:idx val="1"/>
          <c:order val="1"/>
          <c:tx>
            <c:v>supercritical 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counter!$Z$3:$Z$65</c:f>
              <c:numCache>
                <c:formatCode>0.00</c:formatCode>
                <c:ptCount val="63"/>
                <c:pt idx="0" formatCode="General">
                  <c:v>0</c:v>
                </c:pt>
                <c:pt idx="1">
                  <c:v>8.4033462317657209E-2</c:v>
                </c:pt>
                <c:pt idx="2">
                  <c:v>0.17055355504380371</c:v>
                </c:pt>
                <c:pt idx="3">
                  <c:v>0.25962534911461066</c:v>
                </c:pt>
                <c:pt idx="4">
                  <c:v>0.35166017967522861</c:v>
                </c:pt>
                <c:pt idx="5">
                  <c:v>0.44637752090620408</c:v>
                </c:pt>
                <c:pt idx="6">
                  <c:v>0.54455076413637171</c:v>
                </c:pt>
                <c:pt idx="7">
                  <c:v>0.64661325775041256</c:v>
                </c:pt>
                <c:pt idx="8">
                  <c:v>0.75263923420130063</c:v>
                </c:pt>
                <c:pt idx="9">
                  <c:v>0.86306183477429377</c:v>
                </c:pt>
                <c:pt idx="10">
                  <c:v>0.9790608686172364</c:v>
                </c:pt>
                <c:pt idx="11">
                  <c:v>1.1010638627248079</c:v>
                </c:pt>
                <c:pt idx="12">
                  <c:v>1.2302318750830135</c:v>
                </c:pt>
                <c:pt idx="13">
                  <c:v>1.3684484926549563</c:v>
                </c:pt>
                <c:pt idx="14">
                  <c:v>1.5174812577381609</c:v>
                </c:pt>
                <c:pt idx="15">
                  <c:v>1.6811593844772614</c:v>
                </c:pt>
                <c:pt idx="16">
                  <c:v>1.8665081218593844</c:v>
                </c:pt>
                <c:pt idx="17">
                  <c:v>2.088050595294356</c:v>
                </c:pt>
                <c:pt idx="18">
                  <c:v>2.3877265603684568</c:v>
                </c:pt>
                <c:pt idx="19">
                  <c:v>2.4764473891480439</c:v>
                </c:pt>
                <c:pt idx="20">
                  <c:v>2.587079194282178</c:v>
                </c:pt>
                <c:pt idx="21">
                  <c:v>2.7368160606182519</c:v>
                </c:pt>
                <c:pt idx="22">
                  <c:v>2.9756443235869905</c:v>
                </c:pt>
                <c:pt idx="23">
                  <c:v>3.3136613257483565</c:v>
                </c:pt>
                <c:pt idx="24">
                  <c:v>3.5512281381126036</c:v>
                </c:pt>
                <c:pt idx="25">
                  <c:v>3.71688527396313</c:v>
                </c:pt>
                <c:pt idx="26">
                  <c:v>3.8470533473389334</c:v>
                </c:pt>
                <c:pt idx="27">
                  <c:v>3.9563828756444686</c:v>
                </c:pt>
                <c:pt idx="28">
                  <c:v>4.0526435626251827</c:v>
                </c:pt>
                <c:pt idx="29">
                  <c:v>4.4462470392564981</c:v>
                </c:pt>
                <c:pt idx="30">
                  <c:v>4.7488191637434145</c:v>
                </c:pt>
                <c:pt idx="31">
                  <c:v>5.0093551097728435</c:v>
                </c:pt>
                <c:pt idx="32">
                  <c:v>5.2454430866628483</c:v>
                </c:pt>
                <c:pt idx="33">
                  <c:v>5.4657843002872823</c:v>
                </c:pt>
                <c:pt idx="34">
                  <c:v>5.6746323642794634</c:v>
                </c:pt>
                <c:pt idx="35">
                  <c:v>5.8759036109564891</c:v>
                </c:pt>
                <c:pt idx="36">
                  <c:v>6.0708901237960546</c:v>
                </c:pt>
                <c:pt idx="37">
                  <c:v>6.2626677017225267</c:v>
                </c:pt>
                <c:pt idx="38">
                  <c:v>6.4509235613791436</c:v>
                </c:pt>
                <c:pt idx="39">
                  <c:v>6.6375753175273884</c:v>
                </c:pt>
                <c:pt idx="40">
                  <c:v>6.82270234083036</c:v>
                </c:pt>
                <c:pt idx="41">
                  <c:v>7.0080219839894742</c:v>
                </c:pt>
                <c:pt idx="42">
                  <c:v>7.1939523084758719</c:v>
                </c:pt>
                <c:pt idx="43">
                  <c:v>7.3801900833085154</c:v>
                </c:pt>
                <c:pt idx="44">
                  <c:v>7.5681598778447148</c:v>
                </c:pt>
                <c:pt idx="45">
                  <c:v>7.7586036149283508</c:v>
                </c:pt>
                <c:pt idx="46">
                  <c:v>7.9505247536145554</c:v>
                </c:pt>
                <c:pt idx="47">
                  <c:v>8.1467200657405474</c:v>
                </c:pt>
                <c:pt idx="48">
                  <c:v>8.3452822055258942</c:v>
                </c:pt>
                <c:pt idx="49">
                  <c:v>8.5483218409550616</c:v>
                </c:pt>
                <c:pt idx="50">
                  <c:v>8.756023687030746</c:v>
                </c:pt>
                <c:pt idx="51">
                  <c:v>8.9697701196331305</c:v>
                </c:pt>
                <c:pt idx="52">
                  <c:v>9.1887156769127074</c:v>
                </c:pt>
                <c:pt idx="53">
                  <c:v>9.4144527611527451</c:v>
                </c:pt>
                <c:pt idx="54">
                  <c:v>9.6474732902078664</c:v>
                </c:pt>
                <c:pt idx="55">
                  <c:v>9.8883593255813818</c:v>
                </c:pt>
                <c:pt idx="56">
                  <c:v>10.139262878111209</c:v>
                </c:pt>
                <c:pt idx="57">
                  <c:v>10.401136285750178</c:v>
                </c:pt>
                <c:pt idx="58">
                  <c:v>10.673438034052815</c:v>
                </c:pt>
                <c:pt idx="59">
                  <c:v>10.960812163165825</c:v>
                </c:pt>
                <c:pt idx="60">
                  <c:v>11.263168691290341</c:v>
                </c:pt>
                <c:pt idx="61">
                  <c:v>11.582413549289631</c:v>
                </c:pt>
                <c:pt idx="62">
                  <c:v>11.920866244234293</c:v>
                </c:pt>
              </c:numCache>
            </c:numRef>
          </c:xVal>
          <c:yVal>
            <c:numRef>
              <c:f>counter!$A$3:$A$65</c:f>
              <c:numCache>
                <c:formatCode>General</c:formatCode>
                <c:ptCount val="63"/>
                <c:pt idx="0">
                  <c:v>560</c:v>
                </c:pt>
                <c:pt idx="1">
                  <c:v>565</c:v>
                </c:pt>
                <c:pt idx="2">
                  <c:v>570</c:v>
                </c:pt>
                <c:pt idx="3">
                  <c:v>575</c:v>
                </c:pt>
                <c:pt idx="4">
                  <c:v>580</c:v>
                </c:pt>
                <c:pt idx="5">
                  <c:v>585</c:v>
                </c:pt>
                <c:pt idx="6">
                  <c:v>590</c:v>
                </c:pt>
                <c:pt idx="7">
                  <c:v>595</c:v>
                </c:pt>
                <c:pt idx="8">
                  <c:v>600</c:v>
                </c:pt>
                <c:pt idx="9">
                  <c:v>605</c:v>
                </c:pt>
                <c:pt idx="10">
                  <c:v>610</c:v>
                </c:pt>
                <c:pt idx="11">
                  <c:v>615</c:v>
                </c:pt>
                <c:pt idx="12">
                  <c:v>620</c:v>
                </c:pt>
                <c:pt idx="13">
                  <c:v>625</c:v>
                </c:pt>
                <c:pt idx="14">
                  <c:v>630</c:v>
                </c:pt>
                <c:pt idx="15">
                  <c:v>635</c:v>
                </c:pt>
                <c:pt idx="16">
                  <c:v>640</c:v>
                </c:pt>
                <c:pt idx="17">
                  <c:v>645</c:v>
                </c:pt>
                <c:pt idx="18">
                  <c:v>650</c:v>
                </c:pt>
                <c:pt idx="19">
                  <c:v>651</c:v>
                </c:pt>
                <c:pt idx="20">
                  <c:v>652</c:v>
                </c:pt>
                <c:pt idx="21">
                  <c:v>653</c:v>
                </c:pt>
                <c:pt idx="22">
                  <c:v>654</c:v>
                </c:pt>
                <c:pt idx="23">
                  <c:v>655</c:v>
                </c:pt>
                <c:pt idx="24">
                  <c:v>656</c:v>
                </c:pt>
                <c:pt idx="25">
                  <c:v>657</c:v>
                </c:pt>
                <c:pt idx="26">
                  <c:v>658</c:v>
                </c:pt>
                <c:pt idx="27">
                  <c:v>659</c:v>
                </c:pt>
                <c:pt idx="28">
                  <c:v>660</c:v>
                </c:pt>
                <c:pt idx="29">
                  <c:v>665</c:v>
                </c:pt>
                <c:pt idx="30">
                  <c:v>670</c:v>
                </c:pt>
                <c:pt idx="31">
                  <c:v>675</c:v>
                </c:pt>
                <c:pt idx="32">
                  <c:v>680</c:v>
                </c:pt>
                <c:pt idx="33">
                  <c:v>685</c:v>
                </c:pt>
                <c:pt idx="34">
                  <c:v>690</c:v>
                </c:pt>
                <c:pt idx="35">
                  <c:v>695</c:v>
                </c:pt>
                <c:pt idx="36">
                  <c:v>700</c:v>
                </c:pt>
                <c:pt idx="37">
                  <c:v>705</c:v>
                </c:pt>
                <c:pt idx="38">
                  <c:v>710</c:v>
                </c:pt>
                <c:pt idx="39">
                  <c:v>715</c:v>
                </c:pt>
                <c:pt idx="40">
                  <c:v>720</c:v>
                </c:pt>
                <c:pt idx="41">
                  <c:v>725</c:v>
                </c:pt>
                <c:pt idx="42">
                  <c:v>730</c:v>
                </c:pt>
                <c:pt idx="43">
                  <c:v>735</c:v>
                </c:pt>
                <c:pt idx="44">
                  <c:v>740</c:v>
                </c:pt>
                <c:pt idx="45">
                  <c:v>745</c:v>
                </c:pt>
                <c:pt idx="46">
                  <c:v>750</c:v>
                </c:pt>
                <c:pt idx="47">
                  <c:v>755</c:v>
                </c:pt>
                <c:pt idx="48">
                  <c:v>760</c:v>
                </c:pt>
                <c:pt idx="49">
                  <c:v>765</c:v>
                </c:pt>
                <c:pt idx="50">
                  <c:v>770</c:v>
                </c:pt>
                <c:pt idx="51">
                  <c:v>775</c:v>
                </c:pt>
                <c:pt idx="52">
                  <c:v>780</c:v>
                </c:pt>
                <c:pt idx="53">
                  <c:v>785</c:v>
                </c:pt>
                <c:pt idx="54">
                  <c:v>790</c:v>
                </c:pt>
                <c:pt idx="55">
                  <c:v>795</c:v>
                </c:pt>
                <c:pt idx="56">
                  <c:v>800</c:v>
                </c:pt>
                <c:pt idx="57">
                  <c:v>805</c:v>
                </c:pt>
                <c:pt idx="58">
                  <c:v>810</c:v>
                </c:pt>
                <c:pt idx="59">
                  <c:v>815</c:v>
                </c:pt>
                <c:pt idx="60">
                  <c:v>820</c:v>
                </c:pt>
                <c:pt idx="61">
                  <c:v>825</c:v>
                </c:pt>
                <c:pt idx="62">
                  <c:v>830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16-42A4-A9CA-0B9E0695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651999"/>
        <c:axId val="1423671679"/>
      </c:scatterChart>
      <c:valAx>
        <c:axId val="1423651999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Tube 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671679"/>
        <c:crosses val="autoZero"/>
        <c:crossBetween val="midCat"/>
      </c:valAx>
      <c:valAx>
        <c:axId val="142367167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365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967957130358708"/>
          <c:y val="0.67615959463400399"/>
          <c:w val="0.28476487314085741"/>
          <c:h val="0.14768081073199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67</xdr:row>
      <xdr:rowOff>99060</xdr:rowOff>
    </xdr:from>
    <xdr:to>
      <xdr:col>11</xdr:col>
      <xdr:colOff>7620</xdr:colOff>
      <xdr:row>83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31B83-A596-4362-B86E-6F81A0F5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</xdr:colOff>
      <xdr:row>67</xdr:row>
      <xdr:rowOff>72390</xdr:rowOff>
    </xdr:from>
    <xdr:to>
      <xdr:col>4</xdr:col>
      <xdr:colOff>106680</xdr:colOff>
      <xdr:row>84</xdr:row>
      <xdr:rowOff>19050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9E6C60C-77D1-481C-BDE6-51D2AF2466A6}"/>
            </a:ext>
          </a:extLst>
        </xdr:cNvPr>
        <xdr:cNvGrpSpPr/>
      </xdr:nvGrpSpPr>
      <xdr:grpSpPr>
        <a:xfrm>
          <a:off x="701040" y="12325350"/>
          <a:ext cx="1844040" cy="3055620"/>
          <a:chOff x="5814060" y="12131040"/>
          <a:chExt cx="1844040" cy="3055620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DF40D91-66BE-47B6-C196-9C73A01A10F8}"/>
              </a:ext>
            </a:extLst>
          </xdr:cNvPr>
          <xdr:cNvSpPr/>
        </xdr:nvSpPr>
        <xdr:spPr>
          <a:xfrm>
            <a:off x="6713220" y="12309348"/>
            <a:ext cx="251460" cy="2598420"/>
          </a:xfrm>
          <a:prstGeom prst="rect">
            <a:avLst/>
          </a:prstGeom>
          <a:gradFill>
            <a:gsLst>
              <a:gs pos="0">
                <a:schemeClr val="accent5">
                  <a:lumMod val="40000"/>
                  <a:lumOff val="60000"/>
                </a:schemeClr>
              </a:gs>
              <a:gs pos="100000">
                <a:srgbClr val="0000FF"/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795B026-56CB-2452-64F1-8FAAA049393B}"/>
              </a:ext>
            </a:extLst>
          </xdr:cNvPr>
          <xdr:cNvCxnSpPr/>
        </xdr:nvCxnSpPr>
        <xdr:spPr>
          <a:xfrm flipV="1">
            <a:off x="6838950" y="147599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E17EC1A5-AA22-1958-CC6D-4834BF5448A9}"/>
              </a:ext>
            </a:extLst>
          </xdr:cNvPr>
          <xdr:cNvCxnSpPr/>
        </xdr:nvCxnSpPr>
        <xdr:spPr>
          <a:xfrm flipV="1">
            <a:off x="6838950" y="121310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78240CCC-159C-9FE6-068B-A9F4ACCEEFDC}"/>
              </a:ext>
            </a:extLst>
          </xdr:cNvPr>
          <xdr:cNvCxnSpPr/>
        </xdr:nvCxnSpPr>
        <xdr:spPr>
          <a:xfrm>
            <a:off x="6111240" y="13609320"/>
            <a:ext cx="1249680" cy="762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DF929A5-BF49-75C2-E519-D0437331D15D}"/>
              </a:ext>
            </a:extLst>
          </xdr:cNvPr>
          <xdr:cNvSpPr txBox="1"/>
        </xdr:nvSpPr>
        <xdr:spPr>
          <a:xfrm>
            <a:off x="7033260" y="14767560"/>
            <a:ext cx="55626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water inlet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E0DF171-2E79-4558-9EBE-B6CFDF2282C0}"/>
              </a:ext>
            </a:extLst>
          </xdr:cNvPr>
          <xdr:cNvSpPr txBox="1"/>
        </xdr:nvSpPr>
        <xdr:spPr>
          <a:xfrm>
            <a:off x="7071360" y="12169140"/>
            <a:ext cx="58674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steam 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outlet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0755B8C-FBED-0938-3FA7-5094F5D56983}"/>
              </a:ext>
            </a:extLst>
          </xdr:cNvPr>
          <xdr:cNvSpPr/>
        </xdr:nvSpPr>
        <xdr:spPr>
          <a:xfrm>
            <a:off x="6454140" y="12306300"/>
            <a:ext cx="251460" cy="1298448"/>
          </a:xfrm>
          <a:prstGeom prst="rect">
            <a:avLst/>
          </a:prstGeom>
          <a:gradFill>
            <a:gsLst>
              <a:gs pos="0">
                <a:srgbClr val="FF0000"/>
              </a:gs>
              <a:gs pos="100000">
                <a:schemeClr val="accent2">
                  <a:lumMod val="40000"/>
                  <a:lumOff val="60000"/>
                </a:schemeClr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2C81F3EA-09E8-41F6-6764-FB9134FA10A2}"/>
              </a:ext>
            </a:extLst>
          </xdr:cNvPr>
          <xdr:cNvSpPr/>
        </xdr:nvSpPr>
        <xdr:spPr>
          <a:xfrm>
            <a:off x="6454140" y="13609320"/>
            <a:ext cx="251460" cy="1298448"/>
          </a:xfrm>
          <a:prstGeom prst="rect">
            <a:avLst/>
          </a:prstGeom>
          <a:gradFill>
            <a:gsLst>
              <a:gs pos="0">
                <a:schemeClr val="accent2">
                  <a:lumMod val="40000"/>
                  <a:lumOff val="60000"/>
                </a:schemeClr>
              </a:gs>
              <a:gs pos="100000">
                <a:schemeClr val="accent5">
                  <a:lumMod val="40000"/>
                  <a:lumOff val="60000"/>
                </a:schemeClr>
              </a:gs>
            </a:gsLst>
            <a:lin ang="54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1DA3E031-68EC-8B80-2FEF-BF1BBC89D052}"/>
              </a:ext>
            </a:extLst>
          </xdr:cNvPr>
          <xdr:cNvCxnSpPr/>
        </xdr:nvCxnSpPr>
        <xdr:spPr>
          <a:xfrm>
            <a:off x="6579870" y="147599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813632-7249-43E8-FF4E-A18D3C9897A2}"/>
              </a:ext>
            </a:extLst>
          </xdr:cNvPr>
          <xdr:cNvSpPr txBox="1"/>
        </xdr:nvSpPr>
        <xdr:spPr>
          <a:xfrm>
            <a:off x="5814060" y="14767560"/>
            <a:ext cx="52578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salt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outlet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59E7B9DB-CDBA-F975-2723-257A9ED8E860}"/>
              </a:ext>
            </a:extLst>
          </xdr:cNvPr>
          <xdr:cNvCxnSpPr/>
        </xdr:nvCxnSpPr>
        <xdr:spPr>
          <a:xfrm>
            <a:off x="6579870" y="12131040"/>
            <a:ext cx="0" cy="34290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5B4D2FF7-4992-10C4-D30B-E7F0D884EA7F}"/>
              </a:ext>
            </a:extLst>
          </xdr:cNvPr>
          <xdr:cNvSpPr txBox="1"/>
        </xdr:nvSpPr>
        <xdr:spPr>
          <a:xfrm>
            <a:off x="5829300" y="12169140"/>
            <a:ext cx="556260" cy="4191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>
                <a:latin typeface="Arial" panose="020B0604020202020204" pitchFamily="34" charset="0"/>
                <a:cs typeface="Arial" panose="020B0604020202020204" pitchFamily="34" charset="0"/>
              </a:rPr>
              <a:t>salt</a:t>
            </a:r>
            <a:r>
              <a:rPr lang="en-US" sz="1100" kern="1200" baseline="0">
                <a:latin typeface="Arial" panose="020B0604020202020204" pitchFamily="34" charset="0"/>
                <a:cs typeface="Arial" panose="020B0604020202020204" pitchFamily="34" charset="0"/>
              </a:rPr>
              <a:t> inlet</a:t>
            </a:r>
            <a:endParaRPr lang="en-US" sz="1100" kern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13</xdr:col>
      <xdr:colOff>53340</xdr:colOff>
      <xdr:row>66</xdr:row>
      <xdr:rowOff>38100</xdr:rowOff>
    </xdr:from>
    <xdr:to>
      <xdr:col>18</xdr:col>
      <xdr:colOff>60960</xdr:colOff>
      <xdr:row>93</xdr:row>
      <xdr:rowOff>83820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E1E1FAF-4E74-4004-9E33-967D87FB467D}"/>
            </a:ext>
          </a:extLst>
        </xdr:cNvPr>
        <xdr:cNvGrpSpPr/>
      </xdr:nvGrpSpPr>
      <xdr:grpSpPr>
        <a:xfrm>
          <a:off x="7978140" y="12108180"/>
          <a:ext cx="3055620" cy="4983480"/>
          <a:chOff x="7978140" y="12108180"/>
          <a:chExt cx="3055620" cy="4983480"/>
        </a:xfrm>
      </xdr:grpSpPr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3F2B6D2E-C117-C799-D61C-DB90D80BD1A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rcRect l="15959" t="6536" r="43536" b="7974"/>
          <a:stretch>
            <a:fillRect/>
          </a:stretch>
        </xdr:blipFill>
        <xdr:spPr>
          <a:xfrm>
            <a:off x="7978140" y="12108180"/>
            <a:ext cx="3055620" cy="4983480"/>
          </a:xfrm>
          <a:prstGeom prst="rect">
            <a:avLst/>
          </a:prstGeom>
        </xdr:spPr>
      </xdr:pic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C7CFC7D-289E-8D34-18F1-65F557FF288E}"/>
              </a:ext>
            </a:extLst>
          </xdr:cNvPr>
          <xdr:cNvSpPr txBox="1"/>
        </xdr:nvSpPr>
        <xdr:spPr>
          <a:xfrm>
            <a:off x="8191500" y="12291060"/>
            <a:ext cx="541020" cy="205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91440" bIns="0" rtlCol="0" anchor="t"/>
          <a:lstStyle/>
          <a:p>
            <a:r>
              <a:rPr lang="en-US" sz="1100">
                <a:solidFill>
                  <a:srgbClr val="FF0000"/>
                </a:solidFill>
              </a:rPr>
              <a:t>7/30/26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</xdr:colOff>
          <xdr:row>32</xdr:row>
          <xdr:rowOff>7620</xdr:rowOff>
        </xdr:from>
        <xdr:to>
          <xdr:col>28</xdr:col>
          <xdr:colOff>320040</xdr:colOff>
          <xdr:row>42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33C8882-CFC2-4106-BE53-8CE3E21C5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windat.V2\Documents\Project3\WISSR\WY\SGdesign.xlsx" TargetMode="External"/><Relationship Id="rId1" Type="http://schemas.openxmlformats.org/officeDocument/2006/relationships/externalLinkPath" Target="SGdesig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G1"/>
      <sheetName val="Oconee"/>
      <sheetName val="SG2"/>
      <sheetName val="counter"/>
      <sheetName val="parallel"/>
      <sheetName val="SCW"/>
      <sheetName val="PlanView"/>
      <sheetName val="Stacks"/>
    </sheetNames>
    <sheetDataSet>
      <sheetData sheetId="0"/>
      <sheetData sheetId="1"/>
      <sheetData sheetId="2"/>
      <sheetData sheetId="3">
        <row r="3">
          <cell r="A3">
            <v>560</v>
          </cell>
          <cell r="M3">
            <v>810</v>
          </cell>
          <cell r="Z3">
            <v>0</v>
          </cell>
        </row>
        <row r="4">
          <cell r="A4">
            <v>565</v>
          </cell>
          <cell r="M4">
            <v>810.93797196919843</v>
          </cell>
          <cell r="Z4">
            <v>8.4033462317657209E-2</v>
          </cell>
        </row>
        <row r="5">
          <cell r="A5">
            <v>570</v>
          </cell>
          <cell r="M5">
            <v>811.89126523145319</v>
          </cell>
          <cell r="Z5">
            <v>0.17055355504380371</v>
          </cell>
        </row>
        <row r="6">
          <cell r="A6">
            <v>575</v>
          </cell>
          <cell r="M6">
            <v>812.85990090356961</v>
          </cell>
          <cell r="Z6">
            <v>0.25962534911461066</v>
          </cell>
        </row>
        <row r="7">
          <cell r="A7">
            <v>580</v>
          </cell>
          <cell r="M7">
            <v>813.84762775468414</v>
          </cell>
          <cell r="Z7">
            <v>0.35166017967522861</v>
          </cell>
        </row>
        <row r="8">
          <cell r="A8">
            <v>585</v>
          </cell>
          <cell r="M8">
            <v>814.85074398739664</v>
          </cell>
          <cell r="Z8">
            <v>0.44637752090620408</v>
          </cell>
        </row>
        <row r="9">
          <cell r="A9">
            <v>590</v>
          </cell>
          <cell r="M9">
            <v>815.87673370181005</v>
          </cell>
          <cell r="Z9">
            <v>0.54455076413637171</v>
          </cell>
        </row>
        <row r="10">
          <cell r="A10">
            <v>595</v>
          </cell>
          <cell r="M10">
            <v>816.92936355247139</v>
          </cell>
          <cell r="Z10">
            <v>0.64661325775041256</v>
          </cell>
        </row>
        <row r="11">
          <cell r="A11">
            <v>600</v>
          </cell>
          <cell r="M11">
            <v>818.00867405602605</v>
          </cell>
          <cell r="Z11">
            <v>0.75263923420130063</v>
          </cell>
        </row>
        <row r="12">
          <cell r="A12">
            <v>605</v>
          </cell>
          <cell r="M12">
            <v>819.11844344659198</v>
          </cell>
          <cell r="Z12">
            <v>0.86306183477429377</v>
          </cell>
        </row>
        <row r="13">
          <cell r="A13">
            <v>610</v>
          </cell>
          <cell r="M13">
            <v>820.26993642082618</v>
          </cell>
          <cell r="Z13">
            <v>0.9790608686172364</v>
          </cell>
        </row>
        <row r="14">
          <cell r="A14">
            <v>615</v>
          </cell>
          <cell r="M14">
            <v>821.46696296084349</v>
          </cell>
          <cell r="Z14">
            <v>1.1010638627248079</v>
          </cell>
        </row>
        <row r="15">
          <cell r="A15">
            <v>620</v>
          </cell>
          <cell r="M15">
            <v>822.72083031683894</v>
          </cell>
          <cell r="Z15">
            <v>1.2302318750830135</v>
          </cell>
        </row>
        <row r="16">
          <cell r="A16">
            <v>625</v>
          </cell>
          <cell r="M16">
            <v>824.05036692725889</v>
          </cell>
          <cell r="Z16">
            <v>1.3684484926549563</v>
          </cell>
        </row>
        <row r="17">
          <cell r="A17">
            <v>630</v>
          </cell>
          <cell r="M17">
            <v>825.47445510793091</v>
          </cell>
          <cell r="Z17">
            <v>1.5174812577381609</v>
          </cell>
        </row>
        <row r="18">
          <cell r="A18">
            <v>635</v>
          </cell>
          <cell r="M18">
            <v>827.03453975783191</v>
          </cell>
          <cell r="Z18">
            <v>1.6811593844772614</v>
          </cell>
        </row>
        <row r="19">
          <cell r="A19">
            <v>640</v>
          </cell>
          <cell r="M19">
            <v>828.80973677318241</v>
          </cell>
          <cell r="Z19">
            <v>1.8665081218593844</v>
          </cell>
        </row>
        <row r="20">
          <cell r="A20">
            <v>645</v>
          </cell>
          <cell r="M20">
            <v>830.97337365556632</v>
          </cell>
          <cell r="Z20">
            <v>2.088050595294356</v>
          </cell>
        </row>
        <row r="21">
          <cell r="A21">
            <v>650</v>
          </cell>
          <cell r="M21">
            <v>834.09441325685532</v>
          </cell>
          <cell r="Z21">
            <v>2.3877265603684568</v>
          </cell>
        </row>
        <row r="22">
          <cell r="A22">
            <v>651</v>
          </cell>
          <cell r="M22">
            <v>835.0434545629696</v>
          </cell>
          <cell r="Z22">
            <v>2.4764473891480439</v>
          </cell>
        </row>
        <row r="23">
          <cell r="A23">
            <v>652</v>
          </cell>
          <cell r="M23">
            <v>836.2755213487477</v>
          </cell>
          <cell r="Z23">
            <v>2.587079194282178</v>
          </cell>
        </row>
        <row r="24">
          <cell r="A24">
            <v>653</v>
          </cell>
          <cell r="M24">
            <v>838.03614146226323</v>
          </cell>
          <cell r="Z24">
            <v>2.7368160606182519</v>
          </cell>
        </row>
        <row r="25">
          <cell r="A25">
            <v>654</v>
          </cell>
          <cell r="M25">
            <v>841.06989224414644</v>
          </cell>
          <cell r="Z25">
            <v>2.9756443235869905</v>
          </cell>
        </row>
        <row r="26">
          <cell r="A26">
            <v>655</v>
          </cell>
          <cell r="M26">
            <v>845.39300869040301</v>
          </cell>
          <cell r="Z26">
            <v>3.3136613257483565</v>
          </cell>
        </row>
        <row r="27">
          <cell r="A27">
            <v>656</v>
          </cell>
          <cell r="M27">
            <v>848.3052072212771</v>
          </cell>
          <cell r="Z27">
            <v>3.5512281381126036</v>
          </cell>
        </row>
        <row r="28">
          <cell r="A28">
            <v>657</v>
          </cell>
          <cell r="M28">
            <v>850.25451817224041</v>
          </cell>
          <cell r="Z28">
            <v>3.71688527396313</v>
          </cell>
        </row>
        <row r="29">
          <cell r="A29">
            <v>658</v>
          </cell>
          <cell r="M29">
            <v>851.73119466481569</v>
          </cell>
          <cell r="Z29">
            <v>3.8470533473389334</v>
          </cell>
        </row>
        <row r="30">
          <cell r="A30">
            <v>659</v>
          </cell>
          <cell r="M30">
            <v>852.93163222798478</v>
          </cell>
          <cell r="Z30">
            <v>3.9563828756444686</v>
          </cell>
        </row>
        <row r="31">
          <cell r="A31">
            <v>660</v>
          </cell>
          <cell r="M31">
            <v>853.95793124183194</v>
          </cell>
          <cell r="Z31">
            <v>4.0526435626251827</v>
          </cell>
        </row>
        <row r="32">
          <cell r="A32">
            <v>665</v>
          </cell>
          <cell r="M32">
            <v>857.69631657502032</v>
          </cell>
          <cell r="Z32">
            <v>4.4462470392564981</v>
          </cell>
        </row>
        <row r="33">
          <cell r="A33">
            <v>670</v>
          </cell>
          <cell r="M33">
            <v>860.33670336026682</v>
          </cell>
          <cell r="Z33">
            <v>4.7488191637434145</v>
          </cell>
        </row>
        <row r="34">
          <cell r="A34">
            <v>675</v>
          </cell>
          <cell r="M34">
            <v>862.45406914893942</v>
          </cell>
          <cell r="Z34">
            <v>5.0093551097728435</v>
          </cell>
        </row>
        <row r="35">
          <cell r="A35">
            <v>680</v>
          </cell>
          <cell r="M35">
            <v>864.25667762422654</v>
          </cell>
          <cell r="Z35">
            <v>5.2454430866628483</v>
          </cell>
        </row>
        <row r="36">
          <cell r="A36">
            <v>685</v>
          </cell>
          <cell r="M36">
            <v>865.84684104623977</v>
          </cell>
          <cell r="Z36">
            <v>5.4657843002872823</v>
          </cell>
        </row>
        <row r="37">
          <cell r="A37">
            <v>690</v>
          </cell>
          <cell r="M37">
            <v>867.2775901797736</v>
          </cell>
          <cell r="Z37">
            <v>5.6746323642794634</v>
          </cell>
        </row>
        <row r="38">
          <cell r="A38">
            <v>695</v>
          </cell>
          <cell r="M38">
            <v>868.59068252744282</v>
          </cell>
          <cell r="Z38">
            <v>5.8759036109564891</v>
          </cell>
        </row>
        <row r="39">
          <cell r="A39">
            <v>700</v>
          </cell>
          <cell r="M39">
            <v>869.80503408893742</v>
          </cell>
          <cell r="Z39">
            <v>6.0708901237960546</v>
          </cell>
        </row>
        <row r="40">
          <cell r="A40">
            <v>705</v>
          </cell>
          <cell r="M40">
            <v>870.94729224620608</v>
          </cell>
          <cell r="Z40">
            <v>6.2626677017225267</v>
          </cell>
        </row>
        <row r="41">
          <cell r="A41">
            <v>710</v>
          </cell>
          <cell r="M41">
            <v>872.02116644436126</v>
          </cell>
          <cell r="Z41">
            <v>6.4509235613791436</v>
          </cell>
        </row>
        <row r="42">
          <cell r="A42">
            <v>715</v>
          </cell>
          <cell r="M42">
            <v>873.04189368325569</v>
          </cell>
          <cell r="Z42">
            <v>6.6375753175273884</v>
          </cell>
        </row>
        <row r="43">
          <cell r="A43">
            <v>720</v>
          </cell>
          <cell r="M43">
            <v>874.01323056634078</v>
          </cell>
          <cell r="Z43">
            <v>6.82270234083036</v>
          </cell>
        </row>
        <row r="44">
          <cell r="A44">
            <v>725</v>
          </cell>
          <cell r="M44">
            <v>874.94662739337923</v>
          </cell>
          <cell r="Z44">
            <v>7.0080219839894742</v>
          </cell>
        </row>
        <row r="45">
          <cell r="A45">
            <v>730</v>
          </cell>
          <cell r="M45">
            <v>875.84587327797283</v>
          </cell>
          <cell r="Z45">
            <v>7.1939523084758719</v>
          </cell>
        </row>
        <row r="46">
          <cell r="A46">
            <v>735</v>
          </cell>
          <cell r="M46">
            <v>876.71092156983343</v>
          </cell>
          <cell r="Z46">
            <v>7.3801900833085154</v>
          </cell>
        </row>
        <row r="47">
          <cell r="A47">
            <v>740</v>
          </cell>
          <cell r="M47">
            <v>877.54941993453099</v>
          </cell>
          <cell r="Z47">
            <v>7.5681598778447148</v>
          </cell>
        </row>
        <row r="48">
          <cell r="A48">
            <v>745</v>
          </cell>
          <cell r="M48">
            <v>878.36518253307668</v>
          </cell>
          <cell r="Z48">
            <v>7.7586036149283508</v>
          </cell>
        </row>
        <row r="49">
          <cell r="A49">
            <v>750</v>
          </cell>
          <cell r="M49">
            <v>879.15433174157408</v>
          </cell>
          <cell r="Z49">
            <v>7.9505247536145554</v>
          </cell>
        </row>
        <row r="50">
          <cell r="A50">
            <v>755</v>
          </cell>
          <cell r="M50">
            <v>879.92838873832864</v>
          </cell>
          <cell r="Z50">
            <v>8.1467200657405474</v>
          </cell>
        </row>
        <row r="51">
          <cell r="A51">
            <v>760</v>
          </cell>
          <cell r="M51">
            <v>880.67963080245704</v>
          </cell>
          <cell r="Z51">
            <v>8.3452822055258942</v>
          </cell>
        </row>
        <row r="52">
          <cell r="A52">
            <v>765</v>
          </cell>
          <cell r="M52">
            <v>881.41573984848105</v>
          </cell>
          <cell r="Z52">
            <v>8.5483218409550616</v>
          </cell>
        </row>
        <row r="53">
          <cell r="A53">
            <v>770</v>
          </cell>
          <cell r="M53">
            <v>882.13669900485888</v>
          </cell>
          <cell r="Z53">
            <v>8.756023687030746</v>
          </cell>
        </row>
        <row r="54">
          <cell r="A54">
            <v>775</v>
          </cell>
          <cell r="M54">
            <v>882.84634851117755</v>
          </cell>
          <cell r="Z54">
            <v>8.9697701196331305</v>
          </cell>
        </row>
        <row r="55">
          <cell r="A55">
            <v>780</v>
          </cell>
          <cell r="M55">
            <v>883.5408180574708</v>
          </cell>
          <cell r="Z55">
            <v>9.1887156769127074</v>
          </cell>
        </row>
        <row r="56">
          <cell r="A56">
            <v>785</v>
          </cell>
          <cell r="M56">
            <v>884.22395116235077</v>
          </cell>
          <cell r="Z56">
            <v>9.4144527611527451</v>
          </cell>
        </row>
        <row r="57">
          <cell r="A57">
            <v>790</v>
          </cell>
          <cell r="M57">
            <v>884.89573609546983</v>
          </cell>
          <cell r="Z57">
            <v>9.6474732902078664</v>
          </cell>
        </row>
        <row r="58">
          <cell r="A58">
            <v>795</v>
          </cell>
          <cell r="M58">
            <v>885.55616130437113</v>
          </cell>
          <cell r="Z58">
            <v>9.8883593255813818</v>
          </cell>
        </row>
        <row r="59">
          <cell r="A59">
            <v>800</v>
          </cell>
          <cell r="M59">
            <v>886.20907883277982</v>
          </cell>
          <cell r="Z59">
            <v>10.139262878111209</v>
          </cell>
        </row>
        <row r="60">
          <cell r="A60">
            <v>805</v>
          </cell>
          <cell r="M60">
            <v>886.85448126090387</v>
          </cell>
          <cell r="Z60">
            <v>10.401136285750178</v>
          </cell>
        </row>
        <row r="61">
          <cell r="A61">
            <v>810</v>
          </cell>
          <cell r="M61">
            <v>887.48849530507425</v>
          </cell>
          <cell r="Z61">
            <v>10.673438034052815</v>
          </cell>
        </row>
        <row r="62">
          <cell r="A62">
            <v>815</v>
          </cell>
          <cell r="M62">
            <v>888.11884434968556</v>
          </cell>
          <cell r="Z62">
            <v>10.960812163165825</v>
          </cell>
        </row>
        <row r="63">
          <cell r="A63">
            <v>820</v>
          </cell>
          <cell r="M63">
            <v>888.74165650262398</v>
          </cell>
          <cell r="Z63">
            <v>11.263168691290341</v>
          </cell>
        </row>
        <row r="64">
          <cell r="A64">
            <v>825</v>
          </cell>
          <cell r="M64">
            <v>889.35692464819874</v>
          </cell>
          <cell r="Z64">
            <v>11.582413549289631</v>
          </cell>
        </row>
        <row r="65">
          <cell r="A65">
            <v>830</v>
          </cell>
          <cell r="M65">
            <v>889.96464174772052</v>
          </cell>
          <cell r="Z65">
            <v>11.920866244234293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book.nist.gov/chemistry/fluid/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9CCC-AD05-4509-8221-7F94D11A0BC9}">
  <dimension ref="A1:AF66"/>
  <sheetViews>
    <sheetView tabSelected="1" workbookViewId="0">
      <pane ySplit="2" topLeftCell="A3" activePane="bottomLeft" state="frozen"/>
      <selection pane="bottomLeft" activeCell="W3" sqref="W3"/>
    </sheetView>
  </sheetViews>
  <sheetFormatPr defaultRowHeight="14.4" x14ac:dyDescent="0.3"/>
  <cols>
    <col min="7" max="7" width="8.88671875" customWidth="1"/>
    <col min="27" max="27" width="4.44140625" customWidth="1"/>
    <col min="28" max="28" width="27.5546875" customWidth="1"/>
    <col min="29" max="29" width="8.88671875" customWidth="1"/>
  </cols>
  <sheetData>
    <row r="1" spans="1:32" x14ac:dyDescent="0.3">
      <c r="A1" s="1" t="s">
        <v>0</v>
      </c>
      <c r="D1" s="2" t="s">
        <v>1</v>
      </c>
      <c r="L1" t="s">
        <v>2</v>
      </c>
      <c r="M1" s="3" t="s">
        <v>3</v>
      </c>
      <c r="W1" t="s">
        <v>4</v>
      </c>
      <c r="X1" t="s">
        <v>5</v>
      </c>
      <c r="Y1" t="s">
        <v>6</v>
      </c>
      <c r="Z1" t="s">
        <v>7</v>
      </c>
    </row>
    <row r="2" spans="1:3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8</v>
      </c>
      <c r="N2" t="s">
        <v>9</v>
      </c>
      <c r="O2" t="s">
        <v>10</v>
      </c>
      <c r="P2" t="s">
        <v>20</v>
      </c>
      <c r="Q2" t="s">
        <v>12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21</v>
      </c>
      <c r="X2" t="s">
        <v>22</v>
      </c>
      <c r="Y2" t="s">
        <v>23</v>
      </c>
      <c r="Z2" t="s">
        <v>24</v>
      </c>
      <c r="AB2" t="s">
        <v>25</v>
      </c>
      <c r="AC2">
        <v>500</v>
      </c>
    </row>
    <row r="3" spans="1:32" x14ac:dyDescent="0.3">
      <c r="A3">
        <v>560</v>
      </c>
      <c r="B3">
        <v>764.51</v>
      </c>
      <c r="C3">
        <v>5.0136000000000003</v>
      </c>
      <c r="D3">
        <v>96.352000000000004</v>
      </c>
      <c r="E3">
        <v>0.59499000000000002</v>
      </c>
      <c r="F3">
        <v>1264.7</v>
      </c>
      <c r="G3" s="4">
        <f t="shared" ref="G3:G65" si="0">AC$14/(AC$11*0.0001)/B3</f>
        <v>0.15111797387352011</v>
      </c>
      <c r="H3" s="5">
        <f t="shared" ref="H3:H65" si="1">B3*G3*(AC$8/100)/(D3*0.000001)</f>
        <v>23981.069870069088</v>
      </c>
      <c r="I3" s="4">
        <f>(C3*1000)*(D3*0.000001)/E3</f>
        <v>0.81189664901931136</v>
      </c>
      <c r="J3" s="6">
        <f>0.0266*(H3^0.805)*I3^(1/3)</f>
        <v>83.273996120588649</v>
      </c>
      <c r="K3" s="6">
        <f>J3*E3/(AC$8/100)</f>
        <v>2477.3597475894521</v>
      </c>
      <c r="L3" s="7"/>
      <c r="M3" s="5">
        <f>AC17</f>
        <v>810</v>
      </c>
      <c r="N3" s="6">
        <f t="shared" ref="N3:N65" si="2">AC$23+AD$23*M3</f>
        <v>1656.2449999999999</v>
      </c>
      <c r="O3" s="8">
        <f t="shared" ref="O3:O65" si="3">AC$24+AD$24*M3</f>
        <v>1.03288</v>
      </c>
      <c r="P3" s="8">
        <f t="shared" ref="P3:P65" si="4">AC$25*EXP(AD$25/M3)</f>
        <v>3.1237692296742572E-3</v>
      </c>
      <c r="Q3" s="8">
        <f t="shared" ref="Q3:Q65" si="5">AC$26+AD$26*M3</f>
        <v>0.44257999999999997</v>
      </c>
      <c r="R3" s="4">
        <f t="shared" ref="R3:R65" si="6">AC$21/(AC$11*0.0001)/N3</f>
        <v>2.4192138588482814</v>
      </c>
      <c r="S3" s="5">
        <f>N3*R3*(AC$8/100)/P3</f>
        <v>25653.693106299004</v>
      </c>
      <c r="T3" s="4">
        <f>O3*1000*P3/Q3</f>
        <v>7.2901594332006576</v>
      </c>
      <c r="U3" s="6">
        <f>0.0266*(S3^0.805)*T3^(1/3)</f>
        <v>182.7369242859325</v>
      </c>
      <c r="V3" s="6">
        <f>U3*Q3/(AC$8/100)</f>
        <v>4043.7853975233998</v>
      </c>
      <c r="W3" s="7">
        <f t="shared" ref="W3:W65" si="7">1/K3*1000+1/V3*1000+AC$29</f>
        <v>0.86147490510470637</v>
      </c>
      <c r="Y3" s="6"/>
      <c r="Z3">
        <v>0</v>
      </c>
      <c r="AB3" t="s">
        <v>26</v>
      </c>
      <c r="AC3">
        <v>830</v>
      </c>
    </row>
    <row r="4" spans="1:32" x14ac:dyDescent="0.3">
      <c r="A4">
        <v>565</v>
      </c>
      <c r="B4">
        <v>755.98</v>
      </c>
      <c r="C4">
        <v>5.0827999999999998</v>
      </c>
      <c r="D4">
        <v>94.453999999999994</v>
      </c>
      <c r="E4">
        <v>0.58821999999999997</v>
      </c>
      <c r="F4">
        <v>1289.9000000000001</v>
      </c>
      <c r="G4" s="4">
        <f t="shared" si="0"/>
        <v>0.1528230934760772</v>
      </c>
      <c r="H4" s="5">
        <f t="shared" si="1"/>
        <v>24462.95597985154</v>
      </c>
      <c r="I4" s="4">
        <f t="shared" ref="I4:I65" si="8">(C4*1000)*(D4*0.000001)/E4</f>
        <v>0.81617556560470572</v>
      </c>
      <c r="J4" s="6">
        <f t="shared" ref="J4:J65" si="9">0.0266*(H4^0.805)*I4^(1/3)</f>
        <v>84.766813545860401</v>
      </c>
      <c r="K4" s="6">
        <f>J4*E4/(AC$8/100)</f>
        <v>2493.0767531973001</v>
      </c>
      <c r="L4" s="7">
        <f>(F4-F3)*AC$14</f>
        <v>0.91463897979948838</v>
      </c>
      <c r="M4" s="5">
        <f>M3+(L4*1000*4/3)/AC$21/(O3*1000)</f>
        <v>810.93797196919843</v>
      </c>
      <c r="N4" s="6">
        <f t="shared" si="2"/>
        <v>1655.7164527953564</v>
      </c>
      <c r="O4" s="8">
        <f t="shared" si="3"/>
        <v>1.0324110140154008</v>
      </c>
      <c r="P4" s="8">
        <f t="shared" si="4"/>
        <v>3.1184028006289027E-3</v>
      </c>
      <c r="Q4" s="8">
        <f t="shared" si="5"/>
        <v>0.44233612728800842</v>
      </c>
      <c r="R4" s="4">
        <f t="shared" si="6"/>
        <v>2.4199861340288353</v>
      </c>
      <c r="S4" s="5">
        <f>N4*R4*(AC$8/100)/P4</f>
        <v>25697.840297219456</v>
      </c>
      <c r="T4" s="4">
        <f>O4*1000*P4/Q4</f>
        <v>7.2783415120183639</v>
      </c>
      <c r="U4" s="6">
        <f>0.0266*(S4^0.805)*T4^(1/3)</f>
        <v>182.89109646304237</v>
      </c>
      <c r="V4" s="6">
        <f t="shared" ref="V4:V65" si="10">U4*Q4/(AC$8/100)</f>
        <v>4044.9669662459869</v>
      </c>
      <c r="W4" s="7">
        <f>1/K4*1000+1/V4*1000+AC$29</f>
        <v>0.85885791897542074</v>
      </c>
      <c r="X4" s="6">
        <f>((M3-A3)-(M4-A4))/LN((M3-A3)/(M4-A4))</f>
        <v>247.96344081300887</v>
      </c>
      <c r="Y4" s="6">
        <f>L4*W4/X4/AC$31</f>
        <v>8.4033462317657209E-2</v>
      </c>
      <c r="Z4" s="6">
        <f>Z3+Y4</f>
        <v>8.4033462317657209E-2</v>
      </c>
      <c r="AB4" t="s">
        <v>27</v>
      </c>
      <c r="AC4">
        <v>560</v>
      </c>
    </row>
    <row r="5" spans="1:32" x14ac:dyDescent="0.3">
      <c r="A5">
        <v>570</v>
      </c>
      <c r="B5">
        <v>747.15</v>
      </c>
      <c r="C5">
        <v>5.1589999999999998</v>
      </c>
      <c r="D5">
        <v>92.58</v>
      </c>
      <c r="E5">
        <v>0.58120000000000005</v>
      </c>
      <c r="F5">
        <v>1315.5</v>
      </c>
      <c r="G5" s="4">
        <f t="shared" si="0"/>
        <v>0.15462919387813004</v>
      </c>
      <c r="H5" s="5">
        <f t="shared" si="1"/>
        <v>24958.133982727337</v>
      </c>
      <c r="I5" s="4">
        <f t="shared" si="8"/>
        <v>0.82178289745354427</v>
      </c>
      <c r="J5" s="6">
        <f t="shared" si="9"/>
        <v>86.342195211177696</v>
      </c>
      <c r="K5" s="6">
        <f t="shared" ref="K5:K67" si="11">J5*E5/(AC$8/100)</f>
        <v>2509.104192836824</v>
      </c>
      <c r="L5" s="7">
        <f t="shared" ref="L5:L66" si="12">(F5-F4)*AC$14</f>
        <v>0.92915705884391964</v>
      </c>
      <c r="M5" s="5">
        <f t="shared" ref="M5:M65" si="13">M4+(L5*1000*4/3)/AC$21/(O4*1000)</f>
        <v>811.89126523145319</v>
      </c>
      <c r="N5" s="6">
        <f t="shared" si="2"/>
        <v>1655.179272042076</v>
      </c>
      <c r="O5" s="8">
        <f t="shared" si="3"/>
        <v>1.0319343673842734</v>
      </c>
      <c r="P5" s="8">
        <f t="shared" si="4"/>
        <v>3.1129708319033987E-3</v>
      </c>
      <c r="Q5" s="8">
        <f t="shared" si="5"/>
        <v>0.44208827103982218</v>
      </c>
      <c r="R5" s="4">
        <f t="shared" si="6"/>
        <v>2.4207715293007337</v>
      </c>
      <c r="S5" s="5">
        <f t="shared" ref="S5:S65" si="14">N5*R5*(AC$8/100)/P5</f>
        <v>25742.681663343708</v>
      </c>
      <c r="T5" s="4">
        <f t="shared" ref="T5:T65" si="15">O5*1000*P5/Q5</f>
        <v>7.2663804867525332</v>
      </c>
      <c r="U5" s="6">
        <f t="shared" ref="U5:U65" si="16">0.0266*(S5^0.805)*T5^(1/3)</f>
        <v>183.0475748882387</v>
      </c>
      <c r="V5" s="6">
        <f t="shared" si="10"/>
        <v>4046.159295018691</v>
      </c>
      <c r="W5" s="7">
        <f t="shared" si="7"/>
        <v>0.85622288655728451</v>
      </c>
      <c r="X5" s="6">
        <f t="shared" ref="X5:X65" si="17">((M4-A4)-(M5-A5))/LN((M4-A4)/(M5-A5))</f>
        <v>243.90902369993728</v>
      </c>
      <c r="Y5" s="6">
        <f t="shared" ref="Y5:Y65" si="18">L5*W5/X5/AC$31</f>
        <v>8.6520092726146511E-2</v>
      </c>
      <c r="Z5" s="6">
        <f t="shared" ref="Z5:Z65" si="19">Z4+Y5</f>
        <v>0.17055355504380371</v>
      </c>
      <c r="AB5" t="s">
        <v>28</v>
      </c>
      <c r="AC5" s="6">
        <f>AC2*1000/(F65-F3)</f>
        <v>237.22541158608911</v>
      </c>
    </row>
    <row r="6" spans="1:32" x14ac:dyDescent="0.3">
      <c r="A6">
        <v>575</v>
      </c>
      <c r="B6">
        <v>737.99</v>
      </c>
      <c r="C6">
        <v>5.2435999999999998</v>
      </c>
      <c r="D6">
        <v>90.724999999999994</v>
      </c>
      <c r="E6">
        <v>0.57391999999999999</v>
      </c>
      <c r="F6">
        <v>1341.5</v>
      </c>
      <c r="G6" s="4">
        <f t="shared" si="0"/>
        <v>0.15654846570555814</v>
      </c>
      <c r="H6" s="5">
        <f t="shared" si="1"/>
        <v>25468.438072426532</v>
      </c>
      <c r="I6" s="4">
        <f t="shared" si="8"/>
        <v>0.82890578826317241</v>
      </c>
      <c r="J6" s="6">
        <f t="shared" si="9"/>
        <v>88.013350635839899</v>
      </c>
      <c r="K6" s="6">
        <f t="shared" si="11"/>
        <v>2525.6311098460619</v>
      </c>
      <c r="L6" s="7">
        <f t="shared" si="12"/>
        <v>0.94367513788835933</v>
      </c>
      <c r="M6" s="5">
        <f t="shared" si="13"/>
        <v>812.85990090356961</v>
      </c>
      <c r="N6" s="6">
        <f t="shared" si="2"/>
        <v>1654.6334458408382</v>
      </c>
      <c r="O6" s="8">
        <f t="shared" si="3"/>
        <v>1.0314500495482153</v>
      </c>
      <c r="P6" s="8">
        <f t="shared" si="4"/>
        <v>3.1074741476483326E-3</v>
      </c>
      <c r="Q6" s="8">
        <f t="shared" si="5"/>
        <v>0.44183642576507187</v>
      </c>
      <c r="R6" s="4">
        <f t="shared" si="6"/>
        <v>2.4215700871512498</v>
      </c>
      <c r="S6" s="5">
        <f t="shared" si="14"/>
        <v>25788.216842804221</v>
      </c>
      <c r="T6" s="4">
        <f t="shared" si="15"/>
        <v>7.2542782275400368</v>
      </c>
      <c r="U6" s="6">
        <f t="shared" si="16"/>
        <v>183.20635320263187</v>
      </c>
      <c r="V6" s="6">
        <f t="shared" si="10"/>
        <v>4047.3620138252095</v>
      </c>
      <c r="W6" s="7">
        <f t="shared" si="7"/>
        <v>0.85354146993743119</v>
      </c>
      <c r="X6" s="6">
        <f t="shared" si="17"/>
        <v>239.86993701405859</v>
      </c>
      <c r="Y6" s="6">
        <f t="shared" si="18"/>
        <v>8.9071794070806939E-2</v>
      </c>
      <c r="Z6" s="6">
        <f t="shared" si="19"/>
        <v>0.25962534911461066</v>
      </c>
    </row>
    <row r="7" spans="1:32" x14ac:dyDescent="0.3">
      <c r="A7">
        <v>580</v>
      </c>
      <c r="B7">
        <v>728.46</v>
      </c>
      <c r="C7">
        <v>5.3379000000000003</v>
      </c>
      <c r="D7">
        <v>88.882000000000005</v>
      </c>
      <c r="E7">
        <v>0.56637000000000004</v>
      </c>
      <c r="F7">
        <v>1368</v>
      </c>
      <c r="G7" s="4">
        <f t="shared" si="0"/>
        <v>0.15859649425643804</v>
      </c>
      <c r="H7" s="5">
        <f t="shared" si="1"/>
        <v>25996.53522784025</v>
      </c>
      <c r="I7" s="4">
        <f t="shared" si="8"/>
        <v>0.83769131098045457</v>
      </c>
      <c r="J7" s="6">
        <f t="shared" si="9"/>
        <v>89.794539330255759</v>
      </c>
      <c r="K7" s="6">
        <f t="shared" si="11"/>
        <v>2542.8466620238478</v>
      </c>
      <c r="L7" s="7">
        <f t="shared" si="12"/>
        <v>0.96182273669390461</v>
      </c>
      <c r="M7" s="5">
        <f t="shared" si="13"/>
        <v>813.84762775468414</v>
      </c>
      <c r="N7" s="6">
        <f t="shared" si="2"/>
        <v>1654.0768617602353</v>
      </c>
      <c r="O7" s="8">
        <f t="shared" si="3"/>
        <v>1.0309561861226579</v>
      </c>
      <c r="P7" s="8">
        <f t="shared" si="4"/>
        <v>3.1018925592050644E-3</v>
      </c>
      <c r="Q7" s="8">
        <f t="shared" si="5"/>
        <v>0.4415796167837821</v>
      </c>
      <c r="R7" s="4">
        <f t="shared" si="6"/>
        <v>2.4223849267706967</v>
      </c>
      <c r="S7" s="5">
        <f t="shared" si="14"/>
        <v>25834.620517449606</v>
      </c>
      <c r="T7" s="4">
        <f t="shared" si="15"/>
        <v>7.2419903479515728</v>
      </c>
      <c r="U7" s="6">
        <f t="shared" si="16"/>
        <v>183.36803466067616</v>
      </c>
      <c r="V7" s="6">
        <f t="shared" si="10"/>
        <v>4048.5793237928328</v>
      </c>
      <c r="W7" s="7">
        <f t="shared" si="7"/>
        <v>0.85078658768119897</v>
      </c>
      <c r="X7" s="6">
        <f t="shared" si="17"/>
        <v>235.84807625426424</v>
      </c>
      <c r="Y7" s="6">
        <f t="shared" si="18"/>
        <v>9.2034830560617939E-2</v>
      </c>
      <c r="Z7" s="6">
        <f t="shared" si="19"/>
        <v>0.35166017967522861</v>
      </c>
      <c r="AB7" t="s">
        <v>29</v>
      </c>
      <c r="AC7">
        <v>6536</v>
      </c>
    </row>
    <row r="8" spans="1:32" x14ac:dyDescent="0.3">
      <c r="A8">
        <v>585</v>
      </c>
      <c r="B8">
        <v>718.52</v>
      </c>
      <c r="C8">
        <v>5.4438000000000004</v>
      </c>
      <c r="D8">
        <v>87.043000000000006</v>
      </c>
      <c r="E8">
        <v>0.55854000000000004</v>
      </c>
      <c r="F8">
        <v>1394.9</v>
      </c>
      <c r="G8" s="4">
        <f t="shared" si="0"/>
        <v>0.16079051690425439</v>
      </c>
      <c r="H8" s="5">
        <f t="shared" si="1"/>
        <v>26545.77673242992</v>
      </c>
      <c r="I8" s="4">
        <f t="shared" si="8"/>
        <v>0.84836302395531205</v>
      </c>
      <c r="J8" s="6">
        <f t="shared" si="9"/>
        <v>91.704759067528627</v>
      </c>
      <c r="K8" s="6">
        <f t="shared" si="11"/>
        <v>2561.0388064788722</v>
      </c>
      <c r="L8" s="7">
        <f t="shared" si="12"/>
        <v>0.9763408157383443</v>
      </c>
      <c r="M8" s="5">
        <f t="shared" si="13"/>
        <v>814.85074398739664</v>
      </c>
      <c r="N8" s="6">
        <f t="shared" si="2"/>
        <v>1653.5116057631019</v>
      </c>
      <c r="O8" s="8">
        <f t="shared" si="3"/>
        <v>1.0304546280063018</v>
      </c>
      <c r="P8" s="8">
        <f t="shared" si="4"/>
        <v>3.0962480789650804E-3</v>
      </c>
      <c r="Q8" s="8">
        <f t="shared" si="5"/>
        <v>0.44131880656327688</v>
      </c>
      <c r="R8" s="4">
        <f t="shared" si="6"/>
        <v>2.423213023533036</v>
      </c>
      <c r="S8" s="5">
        <f t="shared" si="14"/>
        <v>25881.717197463367</v>
      </c>
      <c r="T8" s="4">
        <f t="shared" si="15"/>
        <v>7.2295653730943474</v>
      </c>
      <c r="U8" s="6">
        <f t="shared" si="16"/>
        <v>183.53200190632455</v>
      </c>
      <c r="V8" s="6">
        <f t="shared" si="10"/>
        <v>4049.8062023734105</v>
      </c>
      <c r="W8" s="7">
        <f t="shared" si="7"/>
        <v>0.84791826673417769</v>
      </c>
      <c r="X8" s="6">
        <f t="shared" si="17"/>
        <v>231.84344384945035</v>
      </c>
      <c r="Y8" s="6">
        <f t="shared" si="18"/>
        <v>9.4717341230975485E-2</v>
      </c>
      <c r="Z8" s="6">
        <f t="shared" si="19"/>
        <v>0.44637752090620408</v>
      </c>
      <c r="AB8" s="9" t="s">
        <v>30</v>
      </c>
      <c r="AC8">
        <v>2</v>
      </c>
    </row>
    <row r="9" spans="1:32" x14ac:dyDescent="0.3">
      <c r="A9">
        <v>590</v>
      </c>
      <c r="B9">
        <v>708.13</v>
      </c>
      <c r="C9">
        <v>5.5639000000000003</v>
      </c>
      <c r="D9">
        <v>85.201999999999998</v>
      </c>
      <c r="E9">
        <v>0.55039000000000005</v>
      </c>
      <c r="F9">
        <v>1422.4</v>
      </c>
      <c r="G9" s="4">
        <f t="shared" si="0"/>
        <v>0.1631497072656784</v>
      </c>
      <c r="H9" s="5">
        <f t="shared" si="1"/>
        <v>27119.363913064215</v>
      </c>
      <c r="I9" s="4">
        <f t="shared" si="8"/>
        <v>0.86130817747415456</v>
      </c>
      <c r="J9" s="6">
        <f t="shared" si="9"/>
        <v>93.768684538919175</v>
      </c>
      <c r="K9" s="6">
        <f t="shared" si="11"/>
        <v>2580.4673141687863</v>
      </c>
      <c r="L9" s="7">
        <f t="shared" si="12"/>
        <v>0.9981179343049954</v>
      </c>
      <c r="M9" s="5">
        <f t="shared" si="13"/>
        <v>815.87673370181005</v>
      </c>
      <c r="N9" s="6">
        <f t="shared" si="2"/>
        <v>1652.9334605590298</v>
      </c>
      <c r="O9" s="8">
        <f t="shared" si="3"/>
        <v>1.0299416331490949</v>
      </c>
      <c r="P9" s="8">
        <f t="shared" si="4"/>
        <v>3.0904998342556399E-3</v>
      </c>
      <c r="Q9" s="8">
        <f t="shared" si="5"/>
        <v>0.44105204923752939</v>
      </c>
      <c r="R9" s="4">
        <f t="shared" si="6"/>
        <v>2.4240605887989282</v>
      </c>
      <c r="S9" s="5">
        <f t="shared" si="14"/>
        <v>25929.856479757611</v>
      </c>
      <c r="T9" s="4">
        <f t="shared" si="15"/>
        <v>7.2169134052158821</v>
      </c>
      <c r="U9" s="6">
        <f t="shared" si="16"/>
        <v>183.6994653638404</v>
      </c>
      <c r="V9" s="6">
        <f t="shared" si="10"/>
        <v>4051.0512821280181</v>
      </c>
      <c r="W9" s="7">
        <f t="shared" si="7"/>
        <v>0.84490252656782916</v>
      </c>
      <c r="X9" s="6">
        <f t="shared" si="17"/>
        <v>227.85796306895742</v>
      </c>
      <c r="Y9" s="6">
        <f t="shared" si="18"/>
        <v>9.8173243230167601E-2</v>
      </c>
      <c r="Z9" s="6">
        <f t="shared" si="19"/>
        <v>0.54455076413637171</v>
      </c>
      <c r="AB9" s="9" t="s">
        <v>31</v>
      </c>
      <c r="AC9">
        <v>2</v>
      </c>
    </row>
    <row r="10" spans="1:32" x14ac:dyDescent="0.3">
      <c r="A10">
        <v>595</v>
      </c>
      <c r="B10">
        <v>697.22</v>
      </c>
      <c r="C10">
        <v>5.7012999999999998</v>
      </c>
      <c r="D10">
        <v>83.35</v>
      </c>
      <c r="E10">
        <v>0.54191</v>
      </c>
      <c r="F10">
        <v>1450.6</v>
      </c>
      <c r="G10" s="4">
        <f t="shared" si="0"/>
        <v>0.16570265082189961</v>
      </c>
      <c r="H10" s="5">
        <f t="shared" si="1"/>
        <v>27721.94414062264</v>
      </c>
      <c r="I10" s="4">
        <f t="shared" si="8"/>
        <v>0.87690456902437675</v>
      </c>
      <c r="J10" s="6">
        <f t="shared" si="9"/>
        <v>96.014939655392823</v>
      </c>
      <c r="K10" s="6">
        <f t="shared" si="11"/>
        <v>2601.5727974326965</v>
      </c>
      <c r="L10" s="7">
        <f t="shared" si="12"/>
        <v>1.0235245726327522</v>
      </c>
      <c r="M10" s="5">
        <f t="shared" si="13"/>
        <v>816.92936355247139</v>
      </c>
      <c r="N10" s="6">
        <f t="shared" si="2"/>
        <v>1652.3403036381821</v>
      </c>
      <c r="O10" s="8">
        <f t="shared" si="3"/>
        <v>1.0294153182237644</v>
      </c>
      <c r="P10" s="8">
        <f t="shared" si="4"/>
        <v>3.0846283887247289E-3</v>
      </c>
      <c r="Q10" s="8">
        <f t="shared" si="5"/>
        <v>0.4407783654763574</v>
      </c>
      <c r="R10" s="4">
        <f t="shared" si="6"/>
        <v>2.4249307777737017</v>
      </c>
      <c r="S10" s="5">
        <f t="shared" si="14"/>
        <v>25979.212745978119</v>
      </c>
      <c r="T10" s="4">
        <f t="shared" si="15"/>
        <v>7.2039917634102792</v>
      </c>
      <c r="U10" s="6">
        <f t="shared" si="16"/>
        <v>183.87102266332624</v>
      </c>
      <c r="V10" s="6">
        <f t="shared" si="10"/>
        <v>4052.3184414003599</v>
      </c>
      <c r="W10" s="7">
        <f t="shared" si="7"/>
        <v>0.84168149300422246</v>
      </c>
      <c r="X10" s="6">
        <f t="shared" si="17"/>
        <v>223.89724922197021</v>
      </c>
      <c r="Y10" s="6">
        <f t="shared" si="18"/>
        <v>0.10206249361404082</v>
      </c>
      <c r="Z10" s="6">
        <f t="shared" si="19"/>
        <v>0.64661325775041256</v>
      </c>
      <c r="AB10" t="s">
        <v>32</v>
      </c>
      <c r="AC10">
        <f>AC8+2*AC9/10</f>
        <v>2.4</v>
      </c>
    </row>
    <row r="11" spans="1:32" x14ac:dyDescent="0.3">
      <c r="A11">
        <v>600</v>
      </c>
      <c r="B11">
        <v>685.72</v>
      </c>
      <c r="C11">
        <v>5.8602999999999996</v>
      </c>
      <c r="D11">
        <v>81.477000000000004</v>
      </c>
      <c r="E11">
        <v>0.53305000000000002</v>
      </c>
      <c r="F11">
        <v>1479.5</v>
      </c>
      <c r="G11" s="4">
        <f t="shared" si="0"/>
        <v>0.16848159920382202</v>
      </c>
      <c r="H11" s="5">
        <f t="shared" si="1"/>
        <v>28359.218480318334</v>
      </c>
      <c r="I11" s="4">
        <f t="shared" si="8"/>
        <v>0.89575023562517575</v>
      </c>
      <c r="J11" s="6">
        <f t="shared" si="9"/>
        <v>98.483352708804034</v>
      </c>
      <c r="K11" s="6">
        <f t="shared" si="11"/>
        <v>2624.8275580713998</v>
      </c>
      <c r="L11" s="7">
        <f t="shared" si="12"/>
        <v>1.0489312109605258</v>
      </c>
      <c r="M11" s="5">
        <f t="shared" si="13"/>
        <v>818.00867405602605</v>
      </c>
      <c r="N11" s="6">
        <f t="shared" si="2"/>
        <v>1651.7321121694292</v>
      </c>
      <c r="O11" s="8">
        <f t="shared" si="3"/>
        <v>1.0288756629719871</v>
      </c>
      <c r="P11" s="8">
        <f t="shared" si="4"/>
        <v>3.0786353488907155E-3</v>
      </c>
      <c r="Q11" s="8">
        <f t="shared" si="5"/>
        <v>0.44049774474543324</v>
      </c>
      <c r="R11" s="4">
        <f t="shared" si="6"/>
        <v>2.4258236720877933</v>
      </c>
      <c r="S11" s="5">
        <f t="shared" si="14"/>
        <v>26029.785301412157</v>
      </c>
      <c r="T11" s="4">
        <f t="shared" si="15"/>
        <v>7.1908040924692358</v>
      </c>
      <c r="U11" s="6">
        <f t="shared" si="16"/>
        <v>184.04666149244804</v>
      </c>
      <c r="V11" s="6">
        <f t="shared" si="10"/>
        <v>4053.6069657674766</v>
      </c>
      <c r="W11" s="7">
        <f t="shared" si="7"/>
        <v>0.83819759647734693</v>
      </c>
      <c r="X11" s="6">
        <f t="shared" si="17"/>
        <v>219.96319520698873</v>
      </c>
      <c r="Y11" s="6">
        <f t="shared" si="18"/>
        <v>0.10602597645088807</v>
      </c>
      <c r="Z11" s="6">
        <f t="shared" si="19"/>
        <v>0.75263923420130063</v>
      </c>
      <c r="AB11" t="s">
        <v>33</v>
      </c>
      <c r="AC11" s="7">
        <f>PI()*AC8^2/4</f>
        <v>3.1415926535897931</v>
      </c>
    </row>
    <row r="12" spans="1:32" x14ac:dyDescent="0.3">
      <c r="A12">
        <v>605</v>
      </c>
      <c r="B12">
        <v>673.53</v>
      </c>
      <c r="C12">
        <v>6.0467000000000004</v>
      </c>
      <c r="D12">
        <v>79.572000000000003</v>
      </c>
      <c r="E12">
        <v>0.52378999999999998</v>
      </c>
      <c r="F12">
        <v>1509.2</v>
      </c>
      <c r="G12" s="4">
        <f t="shared" si="0"/>
        <v>0.17153089276802053</v>
      </c>
      <c r="H12" s="5">
        <f t="shared" si="1"/>
        <v>29038.154679044103</v>
      </c>
      <c r="I12" s="4">
        <f t="shared" si="8"/>
        <v>0.91858953473720406</v>
      </c>
      <c r="J12" s="6">
        <f t="shared" si="9"/>
        <v>101.22291912116823</v>
      </c>
      <c r="K12" s="6">
        <f t="shared" si="11"/>
        <v>2650.9776403238352</v>
      </c>
      <c r="L12" s="7">
        <f t="shared" si="12"/>
        <v>1.0779673690493967</v>
      </c>
      <c r="M12" s="5">
        <f t="shared" si="13"/>
        <v>819.11844344659198</v>
      </c>
      <c r="N12" s="6">
        <f t="shared" si="2"/>
        <v>1651.1067571178453</v>
      </c>
      <c r="O12" s="8">
        <f t="shared" si="3"/>
        <v>1.0283207782767041</v>
      </c>
      <c r="P12" s="8">
        <f t="shared" si="4"/>
        <v>3.0725017418117831E-3</v>
      </c>
      <c r="Q12" s="8">
        <f t="shared" si="5"/>
        <v>0.44020920470388608</v>
      </c>
      <c r="R12" s="4">
        <f t="shared" si="6"/>
        <v>2.4267424504048538</v>
      </c>
      <c r="S12" s="5">
        <f t="shared" si="14"/>
        <v>26081.748323341541</v>
      </c>
      <c r="T12" s="4">
        <f t="shared" si="15"/>
        <v>7.1773087628227179</v>
      </c>
      <c r="U12" s="6">
        <f t="shared" si="16"/>
        <v>184.22697592510224</v>
      </c>
      <c r="V12" s="6">
        <f t="shared" si="10"/>
        <v>4054.920527849561</v>
      </c>
      <c r="W12" s="7">
        <f t="shared" si="7"/>
        <v>0.83435960008622201</v>
      </c>
      <c r="X12" s="6">
        <f t="shared" si="17"/>
        <v>216.05772164895745</v>
      </c>
      <c r="Y12" s="6">
        <f t="shared" si="18"/>
        <v>0.11042260057299312</v>
      </c>
      <c r="Z12" s="6">
        <f t="shared" si="19"/>
        <v>0.86306183477429377</v>
      </c>
      <c r="AB12" t="s">
        <v>34</v>
      </c>
      <c r="AC12" s="7">
        <f>PI()*AC10</f>
        <v>7.5398223686155035</v>
      </c>
    </row>
    <row r="13" spans="1:32" x14ac:dyDescent="0.3">
      <c r="A13">
        <v>610</v>
      </c>
      <c r="B13">
        <v>660.54</v>
      </c>
      <c r="C13">
        <v>6.2690999999999999</v>
      </c>
      <c r="D13">
        <v>77.622</v>
      </c>
      <c r="E13">
        <v>0.51407000000000003</v>
      </c>
      <c r="F13">
        <v>1540</v>
      </c>
      <c r="G13" s="4">
        <f t="shared" si="0"/>
        <v>0.17490417265577385</v>
      </c>
      <c r="H13" s="5">
        <f t="shared" si="1"/>
        <v>29767.643762346976</v>
      </c>
      <c r="I13" s="4">
        <f t="shared" si="8"/>
        <v>0.94660275876826094</v>
      </c>
      <c r="J13" s="6">
        <f t="shared" si="9"/>
        <v>104.30421253924399</v>
      </c>
      <c r="K13" s="6">
        <f t="shared" si="11"/>
        <v>2680.9833270024578</v>
      </c>
      <c r="L13" s="7">
        <f t="shared" si="12"/>
        <v>1.1178920864215931</v>
      </c>
      <c r="M13" s="5">
        <f t="shared" si="13"/>
        <v>820.26993642082618</v>
      </c>
      <c r="N13" s="6">
        <f t="shared" si="2"/>
        <v>1650.4578908268643</v>
      </c>
      <c r="O13" s="8">
        <f t="shared" si="3"/>
        <v>1.0277450317895869</v>
      </c>
      <c r="P13" s="8">
        <f t="shared" si="4"/>
        <v>3.0661679400764245E-3</v>
      </c>
      <c r="Q13" s="8">
        <f t="shared" si="5"/>
        <v>0.4399098165305852</v>
      </c>
      <c r="R13" s="4">
        <f t="shared" si="6"/>
        <v>2.4276965076890242</v>
      </c>
      <c r="S13" s="5">
        <f t="shared" si="14"/>
        <v>26135.625549253517</v>
      </c>
      <c r="T13" s="4">
        <f t="shared" si="15"/>
        <v>7.1633747387107096</v>
      </c>
      <c r="U13" s="6">
        <f t="shared" si="16"/>
        <v>184.41376913323558</v>
      </c>
      <c r="V13" s="6">
        <f t="shared" si="10"/>
        <v>4056.2713672557675</v>
      </c>
      <c r="W13" s="7">
        <f t="shared" si="7"/>
        <v>0.83005561572846953</v>
      </c>
      <c r="X13" s="6">
        <f t="shared" si="17"/>
        <v>212.18837319765549</v>
      </c>
      <c r="Y13" s="6">
        <f t="shared" si="18"/>
        <v>0.11599903384294259</v>
      </c>
      <c r="Z13" s="6">
        <f t="shared" si="19"/>
        <v>0.9790608686172364</v>
      </c>
      <c r="AB13" t="s">
        <v>35</v>
      </c>
      <c r="AC13" s="6">
        <f>AC2*1000/AC7</f>
        <v>76.499388004895962</v>
      </c>
    </row>
    <row r="14" spans="1:32" x14ac:dyDescent="0.3">
      <c r="A14">
        <v>615</v>
      </c>
      <c r="B14">
        <v>646.58000000000004</v>
      </c>
      <c r="C14">
        <v>6.5397999999999996</v>
      </c>
      <c r="D14">
        <v>75.608000000000004</v>
      </c>
      <c r="E14">
        <v>0.50382000000000005</v>
      </c>
      <c r="F14">
        <v>1572</v>
      </c>
      <c r="G14" s="4">
        <f t="shared" si="0"/>
        <v>0.17868044512054942</v>
      </c>
      <c r="H14" s="5">
        <f t="shared" si="1"/>
        <v>30560.576184013556</v>
      </c>
      <c r="I14" s="4">
        <f t="shared" si="8"/>
        <v>0.98142431503314653</v>
      </c>
      <c r="J14" s="6">
        <f t="shared" si="9"/>
        <v>107.82569827714511</v>
      </c>
      <c r="K14" s="6">
        <f t="shared" si="11"/>
        <v>2716.2371652995625</v>
      </c>
      <c r="L14" s="7">
        <f t="shared" si="12"/>
        <v>1.1614463235549037</v>
      </c>
      <c r="M14" s="5">
        <f t="shared" si="13"/>
        <v>821.46696296084349</v>
      </c>
      <c r="N14" s="6">
        <f t="shared" si="2"/>
        <v>1649.7833663715646</v>
      </c>
      <c r="O14" s="8">
        <f t="shared" si="3"/>
        <v>1.0271465185195783</v>
      </c>
      <c r="P14" s="8">
        <f t="shared" si="4"/>
        <v>3.0596162857834302E-3</v>
      </c>
      <c r="Q14" s="8">
        <f t="shared" si="5"/>
        <v>0.43959858963018072</v>
      </c>
      <c r="R14" s="4">
        <f t="shared" si="6"/>
        <v>2.4286890868953983</v>
      </c>
      <c r="S14" s="5">
        <f t="shared" si="14"/>
        <v>26191.590600859989</v>
      </c>
      <c r="T14" s="4">
        <f t="shared" si="15"/>
        <v>7.1489633726806936</v>
      </c>
      <c r="U14" s="6">
        <f t="shared" si="16"/>
        <v>184.60762522676998</v>
      </c>
      <c r="V14" s="6">
        <f t="shared" si="10"/>
        <v>4057.6625842332523</v>
      </c>
      <c r="W14" s="7">
        <f t="shared" si="7"/>
        <v>0.82512998323682252</v>
      </c>
      <c r="X14" s="6">
        <f t="shared" si="17"/>
        <v>208.36266549448055</v>
      </c>
      <c r="Y14" s="6">
        <f t="shared" si="18"/>
        <v>0.12200299410757148</v>
      </c>
      <c r="Z14" s="6">
        <f t="shared" si="19"/>
        <v>1.1010638627248079</v>
      </c>
      <c r="AB14" t="s">
        <v>36</v>
      </c>
      <c r="AC14" s="10">
        <f>AC5/AC7</f>
        <v>3.6295197611090742E-2</v>
      </c>
    </row>
    <row r="15" spans="1:32" x14ac:dyDescent="0.3">
      <c r="A15">
        <v>620</v>
      </c>
      <c r="B15">
        <v>631.44000000000005</v>
      </c>
      <c r="C15">
        <v>6.8783000000000003</v>
      </c>
      <c r="D15">
        <v>73.506</v>
      </c>
      <c r="E15">
        <v>0.49293999999999999</v>
      </c>
      <c r="F15">
        <v>1605.5</v>
      </c>
      <c r="G15" s="4">
        <f t="shared" si="0"/>
        <v>0.18296465571716211</v>
      </c>
      <c r="H15" s="5">
        <f t="shared" si="1"/>
        <v>31434.495743488926</v>
      </c>
      <c r="I15" s="4">
        <f t="shared" si="8"/>
        <v>1.0256751730433724</v>
      </c>
      <c r="J15" s="6">
        <f t="shared" si="9"/>
        <v>111.93446176492027</v>
      </c>
      <c r="K15" s="6">
        <f t="shared" si="11"/>
        <v>2758.8486791199898</v>
      </c>
      <c r="L15" s="7">
        <f t="shared" si="12"/>
        <v>1.2158891199715398</v>
      </c>
      <c r="M15" s="5">
        <f t="shared" si="13"/>
        <v>822.72083031683894</v>
      </c>
      <c r="N15" s="6">
        <f t="shared" si="2"/>
        <v>1649.076812116461</v>
      </c>
      <c r="O15" s="8">
        <f t="shared" si="3"/>
        <v>1.0265195848415805</v>
      </c>
      <c r="P15" s="8">
        <f t="shared" si="4"/>
        <v>3.0527889145622396E-3</v>
      </c>
      <c r="Q15" s="8">
        <f t="shared" si="5"/>
        <v>0.43927258411762188</v>
      </c>
      <c r="R15" s="4">
        <f t="shared" si="6"/>
        <v>2.4297296694783692</v>
      </c>
      <c r="S15" s="5">
        <f t="shared" si="14"/>
        <v>26250.166452944788</v>
      </c>
      <c r="T15" s="4">
        <f t="shared" si="15"/>
        <v>7.1339476272580225</v>
      </c>
      <c r="U15" s="6">
        <f t="shared" si="16"/>
        <v>184.81033395421076</v>
      </c>
      <c r="V15" s="6">
        <f t="shared" si="10"/>
        <v>4059.1056483853422</v>
      </c>
      <c r="W15" s="7">
        <f t="shared" si="7"/>
        <v>0.81935604675484908</v>
      </c>
      <c r="X15" s="6">
        <f t="shared" si="17"/>
        <v>204.58818050894945</v>
      </c>
      <c r="Y15" s="6">
        <f t="shared" si="18"/>
        <v>0.12916801235820544</v>
      </c>
      <c r="Z15" s="6">
        <f t="shared" si="19"/>
        <v>1.2302318750830135</v>
      </c>
    </row>
    <row r="16" spans="1:32" x14ac:dyDescent="0.3">
      <c r="A16">
        <v>625</v>
      </c>
      <c r="B16">
        <v>614.79</v>
      </c>
      <c r="C16">
        <v>7.3178000000000001</v>
      </c>
      <c r="D16">
        <v>71.284000000000006</v>
      </c>
      <c r="E16">
        <v>0.48132000000000003</v>
      </c>
      <c r="F16">
        <v>1641</v>
      </c>
      <c r="G16" s="4">
        <f t="shared" si="0"/>
        <v>0.18791978107328497</v>
      </c>
      <c r="H16" s="5">
        <f t="shared" si="1"/>
        <v>32414.343248427373</v>
      </c>
      <c r="I16" s="4">
        <f t="shared" si="8"/>
        <v>1.083773903432228</v>
      </c>
      <c r="J16" s="6">
        <f t="shared" si="9"/>
        <v>116.86146701500344</v>
      </c>
      <c r="K16" s="6">
        <f t="shared" si="11"/>
        <v>2812.3880651830732</v>
      </c>
      <c r="L16" s="7">
        <f t="shared" si="12"/>
        <v>1.2884795151937214</v>
      </c>
      <c r="M16" s="5">
        <f t="shared" si="13"/>
        <v>824.05036692725889</v>
      </c>
      <c r="N16" s="6">
        <f t="shared" si="2"/>
        <v>1648.3276182364893</v>
      </c>
      <c r="O16" s="8">
        <f t="shared" si="3"/>
        <v>1.0258548165363706</v>
      </c>
      <c r="P16" s="8">
        <f t="shared" si="4"/>
        <v>3.0455887781031671E-3</v>
      </c>
      <c r="Q16" s="8">
        <f t="shared" si="5"/>
        <v>0.4389269045989127</v>
      </c>
      <c r="R16" s="4">
        <f t="shared" si="6"/>
        <v>2.430834024327623</v>
      </c>
      <c r="S16" s="5">
        <f t="shared" si="14"/>
        <v>26312.224988848731</v>
      </c>
      <c r="T16" s="4">
        <f t="shared" si="15"/>
        <v>7.118114393241032</v>
      </c>
      <c r="U16" s="6">
        <f t="shared" si="16"/>
        <v>185.02488293601147</v>
      </c>
      <c r="V16" s="6">
        <f t="shared" si="10"/>
        <v>4060.6199570439849</v>
      </c>
      <c r="W16" s="7">
        <f t="shared" si="7"/>
        <v>0.81236383660479949</v>
      </c>
      <c r="X16" s="6">
        <f t="shared" si="17"/>
        <v>200.88000978548345</v>
      </c>
      <c r="Y16" s="6">
        <f t="shared" si="18"/>
        <v>0.13821661757194281</v>
      </c>
      <c r="Z16" s="6">
        <f t="shared" si="19"/>
        <v>1.3684484926549563</v>
      </c>
      <c r="AB16" t="s">
        <v>38</v>
      </c>
      <c r="AC16" s="11">
        <v>890</v>
      </c>
      <c r="AF16" s="5"/>
    </row>
    <row r="17" spans="1:32" x14ac:dyDescent="0.3">
      <c r="A17">
        <v>630</v>
      </c>
      <c r="B17">
        <v>596.13</v>
      </c>
      <c r="C17">
        <v>7.9185999999999996</v>
      </c>
      <c r="D17">
        <v>68.888999999999996</v>
      </c>
      <c r="E17">
        <v>0.46877999999999997</v>
      </c>
      <c r="F17">
        <v>1679</v>
      </c>
      <c r="G17" s="4">
        <f t="shared" si="0"/>
        <v>0.19380202674927424</v>
      </c>
      <c r="H17" s="5">
        <f t="shared" si="1"/>
        <v>33541.262670686134</v>
      </c>
      <c r="I17" s="4">
        <f t="shared" si="8"/>
        <v>1.1636683207474721</v>
      </c>
      <c r="J17" s="6">
        <f t="shared" si="9"/>
        <v>123.00312078424862</v>
      </c>
      <c r="K17" s="6">
        <f t="shared" si="11"/>
        <v>2883.0701480620032</v>
      </c>
      <c r="L17" s="7">
        <f t="shared" si="12"/>
        <v>1.3792175092214483</v>
      </c>
      <c r="M17" s="5">
        <f t="shared" si="13"/>
        <v>825.47445510793091</v>
      </c>
      <c r="N17" s="6">
        <f t="shared" si="2"/>
        <v>1647.5251445466808</v>
      </c>
      <c r="O17" s="8">
        <f t="shared" si="3"/>
        <v>1.0251427724460345</v>
      </c>
      <c r="P17" s="8">
        <f t="shared" si="4"/>
        <v>3.0379210618680539E-3</v>
      </c>
      <c r="Q17" s="8">
        <f t="shared" si="5"/>
        <v>0.43855664167193797</v>
      </c>
      <c r="R17" s="4">
        <f t="shared" si="6"/>
        <v>2.4320180307479626</v>
      </c>
      <c r="S17" s="5">
        <f t="shared" si="14"/>
        <v>26378.637074818103</v>
      </c>
      <c r="T17" s="4">
        <f t="shared" si="15"/>
        <v>7.1012556279224484</v>
      </c>
      <c r="U17" s="6">
        <f t="shared" si="16"/>
        <v>185.25424260222587</v>
      </c>
      <c r="V17" s="6">
        <f t="shared" si="10"/>
        <v>4062.223924555532</v>
      </c>
      <c r="W17" s="7">
        <f t="shared" si="7"/>
        <v>0.80354936025801016</v>
      </c>
      <c r="X17" s="6">
        <f t="shared" si="17"/>
        <v>197.25700898086137</v>
      </c>
      <c r="Y17" s="6">
        <f t="shared" si="18"/>
        <v>0.14903276508320457</v>
      </c>
      <c r="Z17" s="6">
        <f t="shared" si="19"/>
        <v>1.5174812577381609</v>
      </c>
      <c r="AB17" t="s">
        <v>37</v>
      </c>
      <c r="AC17">
        <v>810</v>
      </c>
      <c r="AF17" s="8"/>
    </row>
    <row r="18" spans="1:32" x14ac:dyDescent="0.3">
      <c r="A18">
        <v>635</v>
      </c>
      <c r="B18">
        <v>574.65</v>
      </c>
      <c r="C18">
        <v>8.8043999999999993</v>
      </c>
      <c r="D18">
        <v>66.236000000000004</v>
      </c>
      <c r="E18">
        <v>0.4551</v>
      </c>
      <c r="F18">
        <v>1720.6</v>
      </c>
      <c r="G18" s="4">
        <f t="shared" si="0"/>
        <v>0.20104620587495842</v>
      </c>
      <c r="H18" s="5">
        <f t="shared" si="1"/>
        <v>34884.71592669993</v>
      </c>
      <c r="I18" s="4">
        <f t="shared" si="8"/>
        <v>1.281406808174028</v>
      </c>
      <c r="J18" s="6">
        <f t="shared" si="9"/>
        <v>131.09877720012906</v>
      </c>
      <c r="K18" s="6">
        <f t="shared" si="11"/>
        <v>2983.1526751889364</v>
      </c>
      <c r="L18" s="7">
        <f t="shared" si="12"/>
        <v>1.5098802206213715</v>
      </c>
      <c r="M18" s="5">
        <f t="shared" si="13"/>
        <v>827.03453975783191</v>
      </c>
      <c r="N18" s="6">
        <f t="shared" si="2"/>
        <v>1646.6460368464616</v>
      </c>
      <c r="O18" s="8">
        <f t="shared" si="3"/>
        <v>1.024362730121084</v>
      </c>
      <c r="P18" s="8">
        <f t="shared" si="4"/>
        <v>3.0295734440688345E-3</v>
      </c>
      <c r="Q18" s="8">
        <f t="shared" si="5"/>
        <v>0.43815101966296371</v>
      </c>
      <c r="R18" s="4">
        <f t="shared" si="6"/>
        <v>2.4333164310902715</v>
      </c>
      <c r="S18" s="5">
        <f t="shared" si="14"/>
        <v>26451.320171772233</v>
      </c>
      <c r="T18" s="4">
        <f t="shared" si="15"/>
        <v>7.0829051742385145</v>
      </c>
      <c r="U18" s="6">
        <f t="shared" si="16"/>
        <v>185.50497632814771</v>
      </c>
      <c r="V18" s="6">
        <f t="shared" si="10"/>
        <v>4063.9597265365928</v>
      </c>
      <c r="W18" s="7">
        <f t="shared" si="7"/>
        <v>0.79180757636673749</v>
      </c>
      <c r="X18" s="6">
        <f t="shared" si="17"/>
        <v>193.74940797412546</v>
      </c>
      <c r="Y18" s="6">
        <f t="shared" si="18"/>
        <v>0.16367812673910051</v>
      </c>
      <c r="Z18" s="6">
        <f t="shared" si="19"/>
        <v>1.6811593844772614</v>
      </c>
      <c r="AB18" t="s">
        <v>39</v>
      </c>
      <c r="AC18" s="12">
        <f>(AC16+AC17)/2</f>
        <v>850</v>
      </c>
      <c r="AF18" s="8"/>
    </row>
    <row r="19" spans="1:32" x14ac:dyDescent="0.3">
      <c r="A19">
        <v>640</v>
      </c>
      <c r="B19">
        <v>548.76</v>
      </c>
      <c r="C19">
        <v>10.263999999999999</v>
      </c>
      <c r="D19">
        <v>63.162999999999997</v>
      </c>
      <c r="E19">
        <v>0.43996000000000002</v>
      </c>
      <c r="F19">
        <v>1767.9</v>
      </c>
      <c r="G19" s="4">
        <f t="shared" si="0"/>
        <v>0.21053138385823467</v>
      </c>
      <c r="H19" s="5">
        <f t="shared" si="1"/>
        <v>36581.923659751708</v>
      </c>
      <c r="I19" s="4">
        <f t="shared" si="8"/>
        <v>1.4735544867715245</v>
      </c>
      <c r="J19" s="6">
        <f t="shared" si="9"/>
        <v>142.70305380474016</v>
      </c>
      <c r="K19" s="6">
        <f t="shared" si="11"/>
        <v>3139.1817775966742</v>
      </c>
      <c r="L19" s="7">
        <f t="shared" si="12"/>
        <v>1.7167628470045986</v>
      </c>
      <c r="M19" s="5">
        <f t="shared" si="13"/>
        <v>828.80973677318241</v>
      </c>
      <c r="N19" s="6">
        <f t="shared" si="2"/>
        <v>1645.6457133283116</v>
      </c>
      <c r="O19" s="8">
        <f t="shared" si="3"/>
        <v>1.023475131613409</v>
      </c>
      <c r="P19" s="8">
        <f t="shared" si="4"/>
        <v>3.0201407633482641E-3</v>
      </c>
      <c r="Q19" s="8">
        <f t="shared" si="5"/>
        <v>0.43768946843897261</v>
      </c>
      <c r="R19" s="4">
        <f t="shared" si="6"/>
        <v>2.4347955487602571</v>
      </c>
      <c r="S19" s="5">
        <f t="shared" si="14"/>
        <v>26533.934485928003</v>
      </c>
      <c r="T19" s="4">
        <f t="shared" si="15"/>
        <v>7.0621735000458941</v>
      </c>
      <c r="U19" s="6">
        <f t="shared" si="16"/>
        <v>185.78961204397663</v>
      </c>
      <c r="V19" s="6">
        <f t="shared" si="10"/>
        <v>4065.9078268505536</v>
      </c>
      <c r="W19" s="7">
        <f t="shared" si="7"/>
        <v>0.77502819552563018</v>
      </c>
      <c r="X19" s="6">
        <f t="shared" si="17"/>
        <v>190.41758716952981</v>
      </c>
      <c r="Y19" s="6">
        <f t="shared" si="18"/>
        <v>0.18534873738212296</v>
      </c>
      <c r="Z19" s="6">
        <f t="shared" si="19"/>
        <v>1.8665081218593844</v>
      </c>
      <c r="AB19" t="s">
        <v>40</v>
      </c>
      <c r="AC19" s="6">
        <f>AC2*1000/(AC24*(AC16-AC17)+0.5*AD24*(AC16^2-AC17^2))</f>
        <v>6170.5236553194854</v>
      </c>
      <c r="AF19" s="7"/>
    </row>
    <row r="20" spans="1:32" x14ac:dyDescent="0.3">
      <c r="A20">
        <v>645</v>
      </c>
      <c r="B20">
        <v>514.96</v>
      </c>
      <c r="C20">
        <v>13.138</v>
      </c>
      <c r="D20">
        <v>59.317</v>
      </c>
      <c r="E20">
        <v>0.42323</v>
      </c>
      <c r="F20">
        <v>1825.5</v>
      </c>
      <c r="G20" s="4">
        <f t="shared" si="0"/>
        <v>0.22434985669963656</v>
      </c>
      <c r="H20" s="5">
        <f t="shared" si="1"/>
        <v>38953.825111197417</v>
      </c>
      <c r="I20" s="4">
        <f t="shared" si="8"/>
        <v>1.8413315360442311</v>
      </c>
      <c r="J20" s="6">
        <f t="shared" si="9"/>
        <v>161.67832666838191</v>
      </c>
      <c r="K20" s="6">
        <f t="shared" si="11"/>
        <v>3421.3559097929638</v>
      </c>
      <c r="L20" s="7">
        <f t="shared" si="12"/>
        <v>2.0906033823988235</v>
      </c>
      <c r="M20" s="5">
        <f t="shared" si="13"/>
        <v>830.97337365556632</v>
      </c>
      <c r="N20" s="6">
        <f t="shared" si="2"/>
        <v>1644.4265039450881</v>
      </c>
      <c r="O20" s="8">
        <f t="shared" si="3"/>
        <v>1.0223933131722169</v>
      </c>
      <c r="P20" s="8">
        <f t="shared" si="4"/>
        <v>3.0087379762650289E-3</v>
      </c>
      <c r="Q20" s="8">
        <f t="shared" si="5"/>
        <v>0.43712692284955279</v>
      </c>
      <c r="R20" s="4">
        <f t="shared" si="6"/>
        <v>2.4366007529284932</v>
      </c>
      <c r="S20" s="5">
        <f t="shared" si="14"/>
        <v>26634.495188724442</v>
      </c>
      <c r="T20" s="4">
        <f t="shared" si="15"/>
        <v>7.037117659026892</v>
      </c>
      <c r="U20" s="6">
        <f t="shared" si="16"/>
        <v>186.13556948752014</v>
      </c>
      <c r="V20" s="6">
        <f t="shared" si="10"/>
        <v>4068.2434361464393</v>
      </c>
      <c r="W20" s="7">
        <f t="shared" si="7"/>
        <v>0.74861442996076666</v>
      </c>
      <c r="X20" s="6">
        <f t="shared" si="17"/>
        <v>187.38797755466251</v>
      </c>
      <c r="Y20" s="6">
        <f t="shared" si="18"/>
        <v>0.22154247343497174</v>
      </c>
      <c r="Z20" s="6">
        <f t="shared" si="19"/>
        <v>2.088050595294356</v>
      </c>
      <c r="AB20" t="s">
        <v>41</v>
      </c>
      <c r="AC20">
        <f>AC7*3/4</f>
        <v>4902</v>
      </c>
    </row>
    <row r="21" spans="1:32" x14ac:dyDescent="0.3">
      <c r="A21">
        <v>650</v>
      </c>
      <c r="B21">
        <v>461.89</v>
      </c>
      <c r="C21">
        <v>22.582000000000001</v>
      </c>
      <c r="D21">
        <v>53.59</v>
      </c>
      <c r="E21">
        <v>0.40945999999999999</v>
      </c>
      <c r="F21">
        <v>1908.5</v>
      </c>
      <c r="G21" s="4">
        <f t="shared" si="0"/>
        <v>0.25012709131188132</v>
      </c>
      <c r="H21" s="5">
        <f t="shared" si="1"/>
        <v>43116.701700333972</v>
      </c>
      <c r="I21" s="4">
        <f t="shared" si="8"/>
        <v>2.9555252771943534</v>
      </c>
      <c r="J21" s="6">
        <f t="shared" si="9"/>
        <v>205.42321185327282</v>
      </c>
      <c r="K21" s="6">
        <f t="shared" si="11"/>
        <v>4205.6294162720542</v>
      </c>
      <c r="L21" s="7">
        <f t="shared" si="12"/>
        <v>3.0125014017205314</v>
      </c>
      <c r="M21" s="5">
        <f t="shared" si="13"/>
        <v>834.09441325685532</v>
      </c>
      <c r="N21" s="6">
        <f t="shared" si="2"/>
        <v>1642.6677981297619</v>
      </c>
      <c r="O21" s="8">
        <f t="shared" si="3"/>
        <v>1.0208327933715724</v>
      </c>
      <c r="P21" s="8">
        <f t="shared" si="4"/>
        <v>2.9924687446307896E-3</v>
      </c>
      <c r="Q21" s="8">
        <f t="shared" si="5"/>
        <v>0.43631545255321763</v>
      </c>
      <c r="R21" s="4">
        <f t="shared" si="6"/>
        <v>2.4392094751051148</v>
      </c>
      <c r="S21" s="5">
        <f t="shared" si="14"/>
        <v>26779.299632367798</v>
      </c>
      <c r="T21" s="4">
        <f t="shared" si="15"/>
        <v>7.0013798727102712</v>
      </c>
      <c r="U21" s="6">
        <f t="shared" si="16"/>
        <v>186.63276271458702</v>
      </c>
      <c r="V21" s="6">
        <f t="shared" si="10"/>
        <v>4071.537916253616</v>
      </c>
      <c r="W21" s="7">
        <f t="shared" si="7"/>
        <v>0.69391029204574883</v>
      </c>
      <c r="X21" s="6">
        <f t="shared" si="17"/>
        <v>185.03230342479236</v>
      </c>
      <c r="Y21" s="6">
        <f t="shared" si="18"/>
        <v>0.29967596507410094</v>
      </c>
      <c r="Z21" s="6">
        <f t="shared" si="19"/>
        <v>2.3877265603684568</v>
      </c>
      <c r="AB21" t="s">
        <v>36</v>
      </c>
      <c r="AC21" s="10">
        <f>AC19/AC20</f>
        <v>1.2587767554711313</v>
      </c>
    </row>
    <row r="22" spans="1:32" x14ac:dyDescent="0.3">
      <c r="A22">
        <v>651</v>
      </c>
      <c r="B22">
        <v>445.02</v>
      </c>
      <c r="C22">
        <v>28.234000000000002</v>
      </c>
      <c r="D22">
        <v>51.844999999999999</v>
      </c>
      <c r="E22">
        <v>0.41019</v>
      </c>
      <c r="F22">
        <v>1933.7</v>
      </c>
      <c r="G22" s="4">
        <f t="shared" si="0"/>
        <v>0.25960901129397523</v>
      </c>
      <c r="H22" s="5">
        <f t="shared" si="1"/>
        <v>44567.924469493628</v>
      </c>
      <c r="I22" s="4">
        <f t="shared" si="8"/>
        <v>3.5685700041444206</v>
      </c>
      <c r="J22" s="6">
        <f t="shared" si="9"/>
        <v>224.65154848362369</v>
      </c>
      <c r="K22" s="6">
        <f t="shared" si="11"/>
        <v>4607.4909336248802</v>
      </c>
      <c r="L22" s="7">
        <f t="shared" si="12"/>
        <v>0.91463897979948838</v>
      </c>
      <c r="M22" s="5">
        <f t="shared" si="13"/>
        <v>835.0434545629696</v>
      </c>
      <c r="N22" s="6">
        <f t="shared" si="2"/>
        <v>1642.1330133537665</v>
      </c>
      <c r="O22" s="8">
        <f t="shared" si="3"/>
        <v>1.0203582727185152</v>
      </c>
      <c r="P22" s="8">
        <f t="shared" si="4"/>
        <v>2.9875630920741117E-3</v>
      </c>
      <c r="Q22" s="8">
        <f t="shared" si="5"/>
        <v>0.43606870181362789</v>
      </c>
      <c r="R22" s="4">
        <f t="shared" si="6"/>
        <v>2.4400038395580199</v>
      </c>
      <c r="S22" s="5">
        <f t="shared" si="14"/>
        <v>26823.27190530693</v>
      </c>
      <c r="T22" s="4">
        <f t="shared" si="15"/>
        <v>6.9906065342180446</v>
      </c>
      <c r="U22" s="6">
        <f t="shared" si="16"/>
        <v>186.7835175499377</v>
      </c>
      <c r="V22" s="6">
        <f t="shared" si="10"/>
        <v>4072.5223009092156</v>
      </c>
      <c r="W22" s="7">
        <f t="shared" si="7"/>
        <v>0.67311225402736852</v>
      </c>
      <c r="X22" s="6">
        <f t="shared" si="17"/>
        <v>184.06893273422523</v>
      </c>
      <c r="Y22" s="6">
        <f t="shared" si="18"/>
        <v>8.8720828779587257E-2</v>
      </c>
      <c r="Z22" s="6">
        <f t="shared" si="19"/>
        <v>2.4764473891480439</v>
      </c>
      <c r="AB22" s="9" t="s">
        <v>42</v>
      </c>
    </row>
    <row r="23" spans="1:32" x14ac:dyDescent="0.3">
      <c r="A23">
        <v>652</v>
      </c>
      <c r="B23">
        <v>422.85</v>
      </c>
      <c r="C23">
        <v>38.14</v>
      </c>
      <c r="D23">
        <v>49.609000000000002</v>
      </c>
      <c r="E23">
        <v>0.41386000000000001</v>
      </c>
      <c r="F23">
        <v>1966.4</v>
      </c>
      <c r="G23" s="4">
        <f t="shared" si="0"/>
        <v>0.27322029610037801</v>
      </c>
      <c r="H23" s="5">
        <f t="shared" si="1"/>
        <v>46576.710760565562</v>
      </c>
      <c r="I23" s="4">
        <f t="shared" si="8"/>
        <v>4.5718051031749871</v>
      </c>
      <c r="J23" s="6">
        <f t="shared" si="9"/>
        <v>252.80564608175837</v>
      </c>
      <c r="K23" s="6">
        <f t="shared" si="11"/>
        <v>5231.3072343698259</v>
      </c>
      <c r="L23" s="7">
        <f t="shared" si="12"/>
        <v>1.1868529618826689</v>
      </c>
      <c r="M23" s="5">
        <f t="shared" si="13"/>
        <v>836.2755213487477</v>
      </c>
      <c r="N23" s="6">
        <f t="shared" si="2"/>
        <v>1641.4387437199805</v>
      </c>
      <c r="O23" s="8">
        <f t="shared" si="3"/>
        <v>1.0197422393256261</v>
      </c>
      <c r="P23" s="8">
        <f t="shared" si="4"/>
        <v>2.9812230198840118E-3</v>
      </c>
      <c r="Q23" s="8">
        <f t="shared" si="5"/>
        <v>0.43574836444932563</v>
      </c>
      <c r="R23" s="4">
        <f t="shared" si="6"/>
        <v>2.4410358735456468</v>
      </c>
      <c r="S23" s="5">
        <f t="shared" si="14"/>
        <v>26880.316104657355</v>
      </c>
      <c r="T23" s="4">
        <f t="shared" si="15"/>
        <v>6.9766849086571074</v>
      </c>
      <c r="U23" s="6">
        <f t="shared" si="16"/>
        <v>186.97893228723748</v>
      </c>
      <c r="V23" s="6">
        <f t="shared" si="10"/>
        <v>4073.7881965322472</v>
      </c>
      <c r="W23" s="7">
        <f t="shared" si="7"/>
        <v>0.64715489540049542</v>
      </c>
      <c r="X23" s="6">
        <f t="shared" si="17"/>
        <v>184.15946358613033</v>
      </c>
      <c r="Y23" s="6">
        <f t="shared" si="18"/>
        <v>0.11063180513413408</v>
      </c>
      <c r="Z23" s="6">
        <f t="shared" si="19"/>
        <v>2.587079194282178</v>
      </c>
      <c r="AB23" t="s">
        <v>43</v>
      </c>
      <c r="AC23">
        <v>2112.6799999999998</v>
      </c>
      <c r="AD23">
        <v>-0.5635</v>
      </c>
    </row>
    <row r="24" spans="1:32" x14ac:dyDescent="0.3">
      <c r="A24">
        <v>653</v>
      </c>
      <c r="B24">
        <v>391.52</v>
      </c>
      <c r="C24">
        <v>57.968000000000004</v>
      </c>
      <c r="D24">
        <v>46.555999999999997</v>
      </c>
      <c r="E24">
        <v>0.42275000000000001</v>
      </c>
      <c r="F24">
        <v>2013.1</v>
      </c>
      <c r="G24" s="4">
        <f t="shared" si="0"/>
        <v>0.29508378168687388</v>
      </c>
      <c r="H24" s="5">
        <f t="shared" si="1"/>
        <v>49631.068908860238</v>
      </c>
      <c r="I24" s="4">
        <f t="shared" si="8"/>
        <v>6.3838159858072139</v>
      </c>
      <c r="J24" s="6">
        <f t="shared" si="9"/>
        <v>297.38799148342883</v>
      </c>
      <c r="K24" s="6">
        <f t="shared" si="11"/>
        <v>6286.0386699809769</v>
      </c>
      <c r="L24" s="7">
        <f t="shared" si="12"/>
        <v>1.694985728437931</v>
      </c>
      <c r="M24" s="5">
        <f t="shared" si="13"/>
        <v>838.03614146226323</v>
      </c>
      <c r="N24" s="6">
        <f t="shared" si="2"/>
        <v>1640.4466342860146</v>
      </c>
      <c r="O24" s="8">
        <f t="shared" si="3"/>
        <v>1.0188619292688683</v>
      </c>
      <c r="P24" s="8">
        <f t="shared" si="4"/>
        <v>2.9722186389995239E-3</v>
      </c>
      <c r="Q24" s="8">
        <f t="shared" si="5"/>
        <v>0.43529060321981156</v>
      </c>
      <c r="R24" s="4">
        <f t="shared" si="6"/>
        <v>2.4425121633975548</v>
      </c>
      <c r="S24" s="5">
        <f t="shared" si="14"/>
        <v>26961.750424907506</v>
      </c>
      <c r="T24" s="4">
        <f t="shared" si="15"/>
        <v>6.9569165847826362</v>
      </c>
      <c r="U24" s="6">
        <f t="shared" si="16"/>
        <v>187.25759579465625</v>
      </c>
      <c r="V24" s="6">
        <f t="shared" si="10"/>
        <v>4075.5735915473783</v>
      </c>
      <c r="W24" s="7">
        <f t="shared" si="7"/>
        <v>0.61497325102968525</v>
      </c>
      <c r="X24" s="6">
        <f t="shared" si="17"/>
        <v>184.65557031454662</v>
      </c>
      <c r="Y24" s="6">
        <f t="shared" si="18"/>
        <v>0.14973686633607386</v>
      </c>
      <c r="Z24" s="6">
        <f t="shared" si="19"/>
        <v>2.7368160606182519</v>
      </c>
      <c r="AB24" t="s">
        <v>44</v>
      </c>
      <c r="AC24">
        <v>1.43788</v>
      </c>
      <c r="AD24">
        <v>-5.0000000000000001E-4</v>
      </c>
    </row>
    <row r="25" spans="1:32" x14ac:dyDescent="0.3">
      <c r="A25">
        <v>654</v>
      </c>
      <c r="B25">
        <v>340.61</v>
      </c>
      <c r="C25">
        <v>109.18</v>
      </c>
      <c r="D25">
        <v>41.847999999999999</v>
      </c>
      <c r="E25">
        <v>0.44527</v>
      </c>
      <c r="F25">
        <v>2093.5</v>
      </c>
      <c r="G25" s="4">
        <f t="shared" si="0"/>
        <v>0.33918910838215216</v>
      </c>
      <c r="H25" s="5">
        <f t="shared" si="1"/>
        <v>55214.68275953205</v>
      </c>
      <c r="I25" s="4">
        <f t="shared" si="8"/>
        <v>10.261110427381139</v>
      </c>
      <c r="J25" s="6">
        <f t="shared" si="9"/>
        <v>379.57741309500699</v>
      </c>
      <c r="K25" s="6">
        <f t="shared" si="11"/>
        <v>8450.7217364406879</v>
      </c>
      <c r="L25" s="7">
        <f t="shared" si="12"/>
        <v>2.9181338879316989</v>
      </c>
      <c r="M25" s="5">
        <f t="shared" si="13"/>
        <v>841.06989224414644</v>
      </c>
      <c r="N25" s="6">
        <f t="shared" si="2"/>
        <v>1638.7371157204234</v>
      </c>
      <c r="O25" s="8">
        <f t="shared" si="3"/>
        <v>1.0173450538779267</v>
      </c>
      <c r="P25" s="8">
        <f t="shared" si="4"/>
        <v>2.9568546681489945E-3</v>
      </c>
      <c r="Q25" s="8">
        <f t="shared" si="5"/>
        <v>0.43450182801652193</v>
      </c>
      <c r="R25" s="4">
        <f t="shared" si="6"/>
        <v>2.4450601742102442</v>
      </c>
      <c r="S25" s="5">
        <f t="shared" si="14"/>
        <v>27101.845084300036</v>
      </c>
      <c r="T25" s="4">
        <f t="shared" si="15"/>
        <v>6.9231963543381303</v>
      </c>
      <c r="U25" s="6">
        <f t="shared" si="16"/>
        <v>187.73616157883913</v>
      </c>
      <c r="V25" s="6">
        <f t="shared" si="10"/>
        <v>4078.5852695405365</v>
      </c>
      <c r="W25" s="7">
        <f t="shared" si="7"/>
        <v>0.57404245978641344</v>
      </c>
      <c r="X25" s="6">
        <f t="shared" si="17"/>
        <v>186.0511642561782</v>
      </c>
      <c r="Y25" s="6">
        <f t="shared" si="18"/>
        <v>0.23882826296873866</v>
      </c>
      <c r="Z25" s="6">
        <f t="shared" si="19"/>
        <v>2.9756443235869905</v>
      </c>
      <c r="AB25" t="s">
        <v>45</v>
      </c>
      <c r="AC25">
        <v>7.0644999999999996E-4</v>
      </c>
      <c r="AD25">
        <v>1204.0999999999999</v>
      </c>
    </row>
    <row r="26" spans="1:32" x14ac:dyDescent="0.3">
      <c r="A26">
        <v>655</v>
      </c>
      <c r="B26">
        <v>279.69</v>
      </c>
      <c r="C26">
        <v>97.963999999999999</v>
      </c>
      <c r="D26">
        <v>36.368000000000002</v>
      </c>
      <c r="E26">
        <v>0.39805000000000001</v>
      </c>
      <c r="F26">
        <v>2207.9</v>
      </c>
      <c r="G26" s="4">
        <f t="shared" si="0"/>
        <v>0.41306876258015968</v>
      </c>
      <c r="H26" s="5">
        <f t="shared" si="1"/>
        <v>63534.537068876401</v>
      </c>
      <c r="I26" s="4">
        <f t="shared" si="8"/>
        <v>8.9505206682577558</v>
      </c>
      <c r="J26" s="6">
        <f t="shared" si="9"/>
        <v>406.05732424253574</v>
      </c>
      <c r="K26" s="6">
        <f t="shared" si="11"/>
        <v>8081.5558957370686</v>
      </c>
      <c r="L26" s="7">
        <f t="shared" si="12"/>
        <v>4.1521706067087845</v>
      </c>
      <c r="M26" s="5">
        <f t="shared" si="13"/>
        <v>845.39300869040301</v>
      </c>
      <c r="N26" s="6">
        <f t="shared" si="2"/>
        <v>1636.3010396029576</v>
      </c>
      <c r="O26" s="8">
        <f t="shared" si="3"/>
        <v>1.0151834956547985</v>
      </c>
      <c r="P26" s="8">
        <f t="shared" si="4"/>
        <v>2.9352866633521445E-3</v>
      </c>
      <c r="Q26" s="8">
        <f t="shared" si="5"/>
        <v>0.43337781774049522</v>
      </c>
      <c r="R26" s="4">
        <f t="shared" si="6"/>
        <v>2.4487003067726518</v>
      </c>
      <c r="S26" s="5">
        <f t="shared" si="14"/>
        <v>27300.984995259911</v>
      </c>
      <c r="T26" s="4">
        <f t="shared" si="15"/>
        <v>6.875881629537079</v>
      </c>
      <c r="U26" s="6">
        <f t="shared" si="16"/>
        <v>188.41464009668221</v>
      </c>
      <c r="V26" s="6">
        <f t="shared" si="10"/>
        <v>4082.7362777730468</v>
      </c>
      <c r="W26" s="7">
        <f t="shared" si="7"/>
        <v>0.57919863759832213</v>
      </c>
      <c r="X26" s="6">
        <f t="shared" si="17"/>
        <v>188.72657434516978</v>
      </c>
      <c r="Y26" s="6">
        <f t="shared" si="18"/>
        <v>0.33801700216136582</v>
      </c>
      <c r="Z26" s="6">
        <f t="shared" si="19"/>
        <v>3.3136613257483565</v>
      </c>
      <c r="AB26" t="s">
        <v>46</v>
      </c>
      <c r="AC26">
        <v>0.65317999999999998</v>
      </c>
      <c r="AD26">
        <v>-2.5999999999999998E-4</v>
      </c>
    </row>
    <row r="27" spans="1:32" x14ac:dyDescent="0.3">
      <c r="A27">
        <v>656</v>
      </c>
      <c r="B27">
        <v>246.48</v>
      </c>
      <c r="C27">
        <v>60.841999999999999</v>
      </c>
      <c r="D27">
        <v>33.654000000000003</v>
      </c>
      <c r="E27">
        <v>0.32918999999999998</v>
      </c>
      <c r="F27">
        <v>2284.8000000000002</v>
      </c>
      <c r="G27" s="4">
        <f t="shared" si="0"/>
        <v>0.46872444906704341</v>
      </c>
      <c r="H27" s="5">
        <f t="shared" si="1"/>
        <v>68658.229159116207</v>
      </c>
      <c r="I27" s="4">
        <f t="shared" si="8"/>
        <v>6.2200451654059972</v>
      </c>
      <c r="J27" s="6">
        <f t="shared" si="9"/>
        <v>382.83975002575653</v>
      </c>
      <c r="K27" s="6">
        <f t="shared" si="11"/>
        <v>6301.3508655489395</v>
      </c>
      <c r="L27" s="7">
        <f t="shared" si="12"/>
        <v>2.7911006962928813</v>
      </c>
      <c r="M27" s="5">
        <f t="shared" si="13"/>
        <v>848.3052072212771</v>
      </c>
      <c r="N27" s="6">
        <f t="shared" si="2"/>
        <v>1634.6600157308103</v>
      </c>
      <c r="O27" s="8">
        <f t="shared" si="3"/>
        <v>1.0137273963893616</v>
      </c>
      <c r="P27" s="8">
        <f t="shared" si="4"/>
        <v>2.9209693364133454E-3</v>
      </c>
      <c r="Q27" s="8">
        <f t="shared" si="5"/>
        <v>0.43262064612246798</v>
      </c>
      <c r="R27" s="4">
        <f t="shared" si="6"/>
        <v>2.4511585400569302</v>
      </c>
      <c r="S27" s="5">
        <f t="shared" si="14"/>
        <v>27434.802602673877</v>
      </c>
      <c r="T27" s="4">
        <f t="shared" si="15"/>
        <v>6.844487582539533</v>
      </c>
      <c r="U27" s="6">
        <f t="shared" si="16"/>
        <v>188.86939866648649</v>
      </c>
      <c r="V27" s="6">
        <f t="shared" si="10"/>
        <v>4085.4400641928692</v>
      </c>
      <c r="W27" s="7">
        <f t="shared" si="7"/>
        <v>0.61399411953658611</v>
      </c>
      <c r="X27" s="6">
        <f t="shared" si="17"/>
        <v>191.34751552285829</v>
      </c>
      <c r="Y27" s="6">
        <f t="shared" si="18"/>
        <v>0.23756681236424712</v>
      </c>
      <c r="Z27" s="6">
        <f t="shared" si="19"/>
        <v>3.5512281381126036</v>
      </c>
      <c r="AC27" s="7"/>
    </row>
    <row r="28" spans="1:32" x14ac:dyDescent="0.3">
      <c r="A28">
        <v>657</v>
      </c>
      <c r="B28">
        <v>227.25</v>
      </c>
      <c r="C28">
        <v>43.851999999999997</v>
      </c>
      <c r="D28">
        <v>32.252000000000002</v>
      </c>
      <c r="E28">
        <v>0.28687000000000001</v>
      </c>
      <c r="F28">
        <v>2336.1999999999998</v>
      </c>
      <c r="G28" s="4">
        <f t="shared" si="0"/>
        <v>0.50838812851944926</v>
      </c>
      <c r="H28" s="5">
        <f t="shared" si="1"/>
        <v>71642.814216820567</v>
      </c>
      <c r="I28" s="4">
        <f t="shared" si="8"/>
        <v>4.9301589709624567</v>
      </c>
      <c r="J28" s="6">
        <f t="shared" si="9"/>
        <v>366.64794109779905</v>
      </c>
      <c r="K28" s="6">
        <f t="shared" si="11"/>
        <v>5259.0147431362811</v>
      </c>
      <c r="L28" s="7">
        <f t="shared" si="12"/>
        <v>1.8655731572100509</v>
      </c>
      <c r="M28" s="5">
        <f t="shared" si="13"/>
        <v>850.25451817224041</v>
      </c>
      <c r="N28" s="6">
        <f t="shared" si="2"/>
        <v>1633.5615790099423</v>
      </c>
      <c r="O28" s="8">
        <f t="shared" si="3"/>
        <v>1.0127527409138799</v>
      </c>
      <c r="P28" s="8">
        <f t="shared" si="4"/>
        <v>2.9114794033460937E-3</v>
      </c>
      <c r="Q28" s="8">
        <f t="shared" si="5"/>
        <v>0.43211382527521747</v>
      </c>
      <c r="R28" s="4">
        <f t="shared" si="6"/>
        <v>2.4528067439469234</v>
      </c>
      <c r="S28" s="5">
        <f t="shared" si="14"/>
        <v>27524.226020924201</v>
      </c>
      <c r="T28" s="4">
        <f t="shared" si="15"/>
        <v>6.8236852731454878</v>
      </c>
      <c r="U28" s="6">
        <f t="shared" si="16"/>
        <v>189.17277467217323</v>
      </c>
      <c r="V28" s="6">
        <f t="shared" si="10"/>
        <v>4087.2085650759773</v>
      </c>
      <c r="W28" s="7">
        <f t="shared" si="7"/>
        <v>0.64534176387724995</v>
      </c>
      <c r="X28" s="6">
        <f t="shared" si="17"/>
        <v>192.77947313638771</v>
      </c>
      <c r="Y28" s="6">
        <f t="shared" si="18"/>
        <v>0.16565713585052627</v>
      </c>
      <c r="Z28" s="6">
        <f t="shared" si="19"/>
        <v>3.71688527396313</v>
      </c>
      <c r="AB28" s="13" t="s">
        <v>47</v>
      </c>
      <c r="AC28">
        <v>19</v>
      </c>
    </row>
    <row r="29" spans="1:32" x14ac:dyDescent="0.3">
      <c r="A29">
        <v>658</v>
      </c>
      <c r="B29">
        <v>214.04</v>
      </c>
      <c r="C29">
        <v>34.700000000000003</v>
      </c>
      <c r="D29">
        <v>31.37</v>
      </c>
      <c r="E29">
        <v>0.25867000000000001</v>
      </c>
      <c r="F29">
        <v>2375.1</v>
      </c>
      <c r="G29" s="4">
        <f t="shared" si="0"/>
        <v>0.53976454030108789</v>
      </c>
      <c r="H29" s="5">
        <f t="shared" si="1"/>
        <v>73657.126047844984</v>
      </c>
      <c r="I29" s="4">
        <f t="shared" si="8"/>
        <v>4.2082151003208716</v>
      </c>
      <c r="J29" s="6">
        <f t="shared" si="9"/>
        <v>355.64947307781932</v>
      </c>
      <c r="K29" s="6">
        <f t="shared" si="11"/>
        <v>4599.7924600519764</v>
      </c>
      <c r="L29" s="7">
        <f t="shared" si="12"/>
        <v>1.4118831870714332</v>
      </c>
      <c r="M29" s="5">
        <f t="shared" si="13"/>
        <v>851.73119466481569</v>
      </c>
      <c r="N29" s="6">
        <f t="shared" si="2"/>
        <v>1632.7294718063763</v>
      </c>
      <c r="O29" s="8">
        <f t="shared" si="3"/>
        <v>1.0120144026675921</v>
      </c>
      <c r="P29" s="8">
        <f t="shared" si="4"/>
        <v>2.9043397505014996E-3</v>
      </c>
      <c r="Q29" s="8">
        <f t="shared" si="5"/>
        <v>0.43172988938714796</v>
      </c>
      <c r="R29" s="4">
        <f t="shared" si="6"/>
        <v>2.4540567968159608</v>
      </c>
      <c r="S29" s="5">
        <f t="shared" si="14"/>
        <v>27591.888014866752</v>
      </c>
      <c r="T29" s="4">
        <f t="shared" si="15"/>
        <v>6.8080383823316906</v>
      </c>
      <c r="U29" s="6">
        <f t="shared" si="16"/>
        <v>189.40205083953077</v>
      </c>
      <c r="V29" s="6">
        <f t="shared" si="10"/>
        <v>4088.5263229324801</v>
      </c>
      <c r="W29" s="7">
        <f t="shared" si="7"/>
        <v>0.67251433386806492</v>
      </c>
      <c r="X29" s="6">
        <f t="shared" si="17"/>
        <v>193.49275855937316</v>
      </c>
      <c r="Y29" s="6">
        <f t="shared" si="18"/>
        <v>0.13016807337580349</v>
      </c>
      <c r="Z29" s="6">
        <f t="shared" si="19"/>
        <v>3.8470533473389334</v>
      </c>
      <c r="AB29" s="9" t="s">
        <v>48</v>
      </c>
      <c r="AC29" s="7">
        <f>2*(AC9*0.001)/AC28*1000</f>
        <v>0.2105263157894737</v>
      </c>
    </row>
    <row r="30" spans="1:32" x14ac:dyDescent="0.3">
      <c r="A30">
        <v>659</v>
      </c>
      <c r="B30">
        <v>204.07</v>
      </c>
      <c r="C30">
        <v>29.010999999999999</v>
      </c>
      <c r="D30">
        <v>30.751999999999999</v>
      </c>
      <c r="E30">
        <v>0.23824000000000001</v>
      </c>
      <c r="F30">
        <v>2406.6999999999998</v>
      </c>
      <c r="G30" s="4">
        <f t="shared" si="0"/>
        <v>0.56613516051376911</v>
      </c>
      <c r="H30" s="5">
        <f t="shared" si="1"/>
        <v>75137.358354607728</v>
      </c>
      <c r="I30" s="4">
        <f t="shared" si="8"/>
        <v>3.7447375419744793</v>
      </c>
      <c r="J30" s="6">
        <f t="shared" si="9"/>
        <v>347.60508069903693</v>
      </c>
      <c r="K30" s="6">
        <f t="shared" si="11"/>
        <v>4140.671721286928</v>
      </c>
      <c r="L30" s="7">
        <f t="shared" si="12"/>
        <v>1.146928244510464</v>
      </c>
      <c r="M30" s="5">
        <f t="shared" si="13"/>
        <v>852.93163222798478</v>
      </c>
      <c r="N30" s="6">
        <f t="shared" si="2"/>
        <v>1632.0530252395304</v>
      </c>
      <c r="O30" s="8">
        <f t="shared" si="3"/>
        <v>1.0114141838860076</v>
      </c>
      <c r="P30" s="8">
        <f t="shared" si="4"/>
        <v>2.8985667606621431E-3</v>
      </c>
      <c r="Q30" s="8">
        <f t="shared" si="5"/>
        <v>0.43141777562072392</v>
      </c>
      <c r="R30" s="4">
        <f t="shared" si="6"/>
        <v>2.4550739440957234</v>
      </c>
      <c r="S30" s="5">
        <f t="shared" si="14"/>
        <v>27646.841963597642</v>
      </c>
      <c r="T30" s="4">
        <f t="shared" si="15"/>
        <v>6.7953888326834688</v>
      </c>
      <c r="U30" s="6">
        <f t="shared" si="16"/>
        <v>189.58809335541531</v>
      </c>
      <c r="V30" s="6">
        <f t="shared" si="10"/>
        <v>4089.583675978371</v>
      </c>
      <c r="W30" s="7">
        <f t="shared" si="7"/>
        <v>0.69655669242393947</v>
      </c>
      <c r="X30" s="6">
        <f t="shared" si="17"/>
        <v>193.83139617399655</v>
      </c>
      <c r="Y30" s="6">
        <f t="shared" si="18"/>
        <v>0.10932952830553491</v>
      </c>
      <c r="Z30" s="6">
        <f t="shared" si="19"/>
        <v>3.9563828756444686</v>
      </c>
    </row>
    <row r="31" spans="1:32" x14ac:dyDescent="0.3">
      <c r="A31">
        <v>660</v>
      </c>
      <c r="B31">
        <v>196.1</v>
      </c>
      <c r="C31">
        <v>25.13</v>
      </c>
      <c r="D31">
        <v>30.29</v>
      </c>
      <c r="E31">
        <v>0.22259000000000001</v>
      </c>
      <c r="F31">
        <v>2433.6999999999998</v>
      </c>
      <c r="G31" s="4">
        <f t="shared" si="0"/>
        <v>0.58914432537503747</v>
      </c>
      <c r="H31" s="5">
        <f t="shared" si="1"/>
        <v>76283.395315975475</v>
      </c>
      <c r="I31" s="4">
        <f t="shared" si="8"/>
        <v>3.4196850712071516</v>
      </c>
      <c r="J31" s="6">
        <f t="shared" si="9"/>
        <v>341.376144728432</v>
      </c>
      <c r="K31" s="6">
        <f t="shared" si="11"/>
        <v>3799.3458027550842</v>
      </c>
      <c r="L31" s="7">
        <f t="shared" si="12"/>
        <v>0.97997033549945001</v>
      </c>
      <c r="M31" s="5">
        <f t="shared" si="13"/>
        <v>853.95793124183194</v>
      </c>
      <c r="N31" s="6">
        <f t="shared" si="2"/>
        <v>1631.4747057452275</v>
      </c>
      <c r="O31" s="8">
        <f t="shared" si="3"/>
        <v>1.0109010343790841</v>
      </c>
      <c r="P31" s="8">
        <f t="shared" si="4"/>
        <v>2.8936531503252786E-3</v>
      </c>
      <c r="Q31" s="8">
        <f t="shared" si="5"/>
        <v>0.43115093787712366</v>
      </c>
      <c r="R31" s="4">
        <f t="shared" si="6"/>
        <v>2.45594421019107</v>
      </c>
      <c r="S31" s="5">
        <f t="shared" si="14"/>
        <v>27693.78809065462</v>
      </c>
      <c r="T31" s="4">
        <f t="shared" si="15"/>
        <v>6.7846239119901659</v>
      </c>
      <c r="U31" s="6">
        <f t="shared" si="16"/>
        <v>189.74690457373993</v>
      </c>
      <c r="V31" s="6">
        <f t="shared" si="10"/>
        <v>4090.4777933124528</v>
      </c>
      <c r="W31" s="7">
        <f t="shared" si="7"/>
        <v>0.71819974136982889</v>
      </c>
      <c r="X31" s="6">
        <f t="shared" si="17"/>
        <v>193.94478143771087</v>
      </c>
      <c r="Y31" s="6">
        <f t="shared" si="18"/>
        <v>9.6260686980714286E-2</v>
      </c>
      <c r="Z31" s="6">
        <f t="shared" si="19"/>
        <v>4.0526435626251827</v>
      </c>
      <c r="AB31" s="9" t="s">
        <v>49</v>
      </c>
      <c r="AC31" s="7">
        <f>3*(1/6)*(AC12/100)</f>
        <v>3.7699111843077518E-2</v>
      </c>
    </row>
    <row r="32" spans="1:32" x14ac:dyDescent="0.3">
      <c r="A32">
        <v>665</v>
      </c>
      <c r="B32">
        <v>170.62</v>
      </c>
      <c r="C32">
        <v>15.928000000000001</v>
      </c>
      <c r="D32">
        <v>29.032</v>
      </c>
      <c r="E32">
        <v>0.17752000000000001</v>
      </c>
      <c r="F32">
        <v>2532</v>
      </c>
      <c r="G32" s="4">
        <f t="shared" si="0"/>
        <v>0.67712578950911295</v>
      </c>
      <c r="H32" s="5">
        <f t="shared" si="1"/>
        <v>79588.868976332902</v>
      </c>
      <c r="I32" s="4">
        <f t="shared" si="8"/>
        <v>2.6048991437584497</v>
      </c>
      <c r="J32" s="6">
        <f t="shared" si="9"/>
        <v>322.60027683870322</v>
      </c>
      <c r="K32" s="6">
        <f t="shared" si="11"/>
        <v>2863.4000572203299</v>
      </c>
      <c r="L32" s="7">
        <f t="shared" si="12"/>
        <v>3.5678179251702264</v>
      </c>
      <c r="M32" s="5">
        <f t="shared" si="13"/>
        <v>857.69631657502032</v>
      </c>
      <c r="N32" s="6">
        <f t="shared" si="2"/>
        <v>1629.3681256099758</v>
      </c>
      <c r="O32" s="8">
        <f t="shared" si="3"/>
        <v>1.0090318417124899</v>
      </c>
      <c r="P32" s="8">
        <f t="shared" si="4"/>
        <v>2.8759239471268867E-3</v>
      </c>
      <c r="Q32" s="8">
        <f t="shared" si="5"/>
        <v>0.43017895769049475</v>
      </c>
      <c r="R32" s="4">
        <f t="shared" si="6"/>
        <v>2.4591194553705709</v>
      </c>
      <c r="S32" s="5">
        <f t="shared" si="14"/>
        <v>27864.511936423536</v>
      </c>
      <c r="T32" s="4">
        <f t="shared" si="15"/>
        <v>6.7457944771960578</v>
      </c>
      <c r="U32" s="6">
        <f t="shared" si="16"/>
        <v>190.3234996009574</v>
      </c>
      <c r="V32" s="6">
        <f t="shared" si="10"/>
        <v>4093.6582341173576</v>
      </c>
      <c r="W32" s="7">
        <f t="shared" si="7"/>
        <v>0.80404176874741318</v>
      </c>
      <c r="X32" s="6">
        <f t="shared" si="17"/>
        <v>193.32643781911111</v>
      </c>
      <c r="Y32" s="6">
        <f t="shared" si="18"/>
        <v>0.39360347663131584</v>
      </c>
      <c r="Z32" s="6">
        <f t="shared" si="19"/>
        <v>4.4462470392564981</v>
      </c>
      <c r="AC32" s="5"/>
    </row>
    <row r="33" spans="1:29" x14ac:dyDescent="0.3">
      <c r="A33">
        <v>670</v>
      </c>
      <c r="B33">
        <v>155.58000000000001</v>
      </c>
      <c r="C33">
        <v>12.218</v>
      </c>
      <c r="D33">
        <v>28.488</v>
      </c>
      <c r="E33">
        <v>0.15504000000000001</v>
      </c>
      <c r="F33">
        <v>2601.3000000000002</v>
      </c>
      <c r="G33" s="4">
        <f t="shared" si="0"/>
        <v>0.74258389385553958</v>
      </c>
      <c r="H33" s="5">
        <f t="shared" si="1"/>
        <v>81108.678886580208</v>
      </c>
      <c r="I33" s="4">
        <f t="shared" si="8"/>
        <v>2.2450102167182662</v>
      </c>
      <c r="J33" s="6">
        <f t="shared" si="9"/>
        <v>311.71206286899786</v>
      </c>
      <c r="K33" s="6">
        <f t="shared" si="11"/>
        <v>2416.3919113604716</v>
      </c>
      <c r="L33" s="7">
        <f t="shared" si="12"/>
        <v>2.5152571944485951</v>
      </c>
      <c r="M33" s="5">
        <f t="shared" si="13"/>
        <v>860.33670336026682</v>
      </c>
      <c r="N33" s="6">
        <f t="shared" si="2"/>
        <v>1627.8802676564894</v>
      </c>
      <c r="O33" s="8">
        <f t="shared" si="3"/>
        <v>1.0077116483198667</v>
      </c>
      <c r="P33" s="8">
        <f t="shared" si="4"/>
        <v>2.8635596264375584E-3</v>
      </c>
      <c r="Q33" s="8">
        <f t="shared" si="5"/>
        <v>0.42949245712633066</v>
      </c>
      <c r="R33" s="4">
        <f t="shared" si="6"/>
        <v>2.4613670533745156</v>
      </c>
      <c r="S33" s="5">
        <f t="shared" si="14"/>
        <v>27984.825743844467</v>
      </c>
      <c r="T33" s="4">
        <f t="shared" si="15"/>
        <v>6.7187265884179022</v>
      </c>
      <c r="U33" s="6">
        <f t="shared" si="16"/>
        <v>190.72896761396549</v>
      </c>
      <c r="V33" s="6">
        <f t="shared" si="10"/>
        <v>4095.8326472845192</v>
      </c>
      <c r="W33" s="7">
        <f t="shared" si="7"/>
        <v>0.8685170698975051</v>
      </c>
      <c r="X33" s="6">
        <f t="shared" si="17"/>
        <v>191.51408727361161</v>
      </c>
      <c r="Y33" s="6">
        <f t="shared" si="18"/>
        <v>0.30257212448691634</v>
      </c>
      <c r="Z33" s="6">
        <f t="shared" si="19"/>
        <v>4.7488191637434145</v>
      </c>
      <c r="AC33" s="6"/>
    </row>
    <row r="34" spans="1:29" x14ac:dyDescent="0.3">
      <c r="A34">
        <v>675</v>
      </c>
      <c r="B34">
        <v>145</v>
      </c>
      <c r="C34">
        <v>10.151</v>
      </c>
      <c r="D34">
        <v>28.222999999999999</v>
      </c>
      <c r="E34">
        <v>0.14121</v>
      </c>
      <c r="F34">
        <v>2656.8</v>
      </c>
      <c r="G34" s="4">
        <f t="shared" si="0"/>
        <v>0.79676691176582659</v>
      </c>
      <c r="H34" s="5">
        <f t="shared" si="1"/>
        <v>81870.249233635594</v>
      </c>
      <c r="I34" s="4">
        <f t="shared" si="8"/>
        <v>2.0288341689682028</v>
      </c>
      <c r="J34" s="6">
        <f t="shared" si="9"/>
        <v>303.64327995249778</v>
      </c>
      <c r="K34" s="6">
        <f t="shared" si="11"/>
        <v>2143.8733781046108</v>
      </c>
      <c r="L34" s="7">
        <f t="shared" si="12"/>
        <v>2.0143834674155361</v>
      </c>
      <c r="M34" s="5">
        <f t="shared" si="13"/>
        <v>862.45406914893942</v>
      </c>
      <c r="N34" s="6">
        <f t="shared" si="2"/>
        <v>1626.6871320345724</v>
      </c>
      <c r="O34" s="8">
        <f t="shared" si="3"/>
        <v>1.0066529654255303</v>
      </c>
      <c r="P34" s="8">
        <f t="shared" si="4"/>
        <v>2.8537373003870159E-3</v>
      </c>
      <c r="Q34" s="8">
        <f t="shared" si="5"/>
        <v>0.42894194202127578</v>
      </c>
      <c r="R34" s="4">
        <f t="shared" si="6"/>
        <v>2.463172406507371</v>
      </c>
      <c r="S34" s="5">
        <f t="shared" si="14"/>
        <v>28081.14718271215</v>
      </c>
      <c r="T34" s="4">
        <f t="shared" si="15"/>
        <v>6.6972306378879312</v>
      </c>
      <c r="U34" s="6">
        <f t="shared" si="16"/>
        <v>191.05306351554216</v>
      </c>
      <c r="V34" s="6">
        <f t="shared" si="10"/>
        <v>4097.5336046735401</v>
      </c>
      <c r="W34" s="7">
        <f t="shared" si="7"/>
        <v>0.92102102315955547</v>
      </c>
      <c r="X34" s="6">
        <f t="shared" si="17"/>
        <v>188.89172033260866</v>
      </c>
      <c r="Y34" s="6">
        <f t="shared" si="18"/>
        <v>0.26053594602942898</v>
      </c>
      <c r="Z34" s="6">
        <f t="shared" si="19"/>
        <v>5.0093551097728435</v>
      </c>
      <c r="AC34" s="5"/>
    </row>
    <row r="35" spans="1:29" x14ac:dyDescent="0.3">
      <c r="A35">
        <v>680</v>
      </c>
      <c r="B35">
        <v>136.88999999999999</v>
      </c>
      <c r="C35">
        <v>8.8092000000000006</v>
      </c>
      <c r="D35">
        <v>28.102</v>
      </c>
      <c r="E35">
        <v>0.13177</v>
      </c>
      <c r="F35">
        <v>2704</v>
      </c>
      <c r="G35" s="4">
        <f t="shared" si="0"/>
        <v>0.843971087778836</v>
      </c>
      <c r="H35" s="5">
        <f t="shared" si="1"/>
        <v>82222.761515938255</v>
      </c>
      <c r="I35" s="4">
        <f t="shared" si="8"/>
        <v>1.8786987812096836</v>
      </c>
      <c r="J35" s="6">
        <f t="shared" si="9"/>
        <v>296.98598961095036</v>
      </c>
      <c r="K35" s="6">
        <f t="shared" si="11"/>
        <v>1956.6921925517463</v>
      </c>
      <c r="L35" s="7">
        <f t="shared" si="12"/>
        <v>1.7131333272434763</v>
      </c>
      <c r="M35" s="5">
        <f t="shared" si="13"/>
        <v>864.25667762422654</v>
      </c>
      <c r="N35" s="6">
        <f t="shared" si="2"/>
        <v>1625.6713621587483</v>
      </c>
      <c r="O35" s="8">
        <f t="shared" si="3"/>
        <v>1.0057516611878867</v>
      </c>
      <c r="P35" s="8">
        <f t="shared" si="4"/>
        <v>2.8454394219704538E-3</v>
      </c>
      <c r="Q35" s="8">
        <f t="shared" si="5"/>
        <v>0.42847326381770112</v>
      </c>
      <c r="R35" s="4">
        <f t="shared" si="6"/>
        <v>2.4647114730049005</v>
      </c>
      <c r="S35" s="5">
        <f t="shared" si="14"/>
        <v>28163.037502822484</v>
      </c>
      <c r="T35" s="4">
        <f t="shared" si="15"/>
        <v>6.6790758423467746</v>
      </c>
      <c r="U35" s="6">
        <f t="shared" si="16"/>
        <v>191.32824471968388</v>
      </c>
      <c r="V35" s="6">
        <f t="shared" si="10"/>
        <v>4098.9518737777398</v>
      </c>
      <c r="W35" s="7">
        <f t="shared" si="7"/>
        <v>0.96555770877342972</v>
      </c>
      <c r="X35" s="6">
        <f t="shared" si="17"/>
        <v>185.85078939469435</v>
      </c>
      <c r="Y35" s="6">
        <f t="shared" si="18"/>
        <v>0.23608797689000524</v>
      </c>
      <c r="Z35" s="6">
        <f t="shared" si="19"/>
        <v>5.2454430866628483</v>
      </c>
      <c r="AC35" s="6"/>
    </row>
    <row r="36" spans="1:29" x14ac:dyDescent="0.3">
      <c r="A36">
        <v>685</v>
      </c>
      <c r="B36">
        <v>130.35</v>
      </c>
      <c r="C36">
        <v>7.8583999999999996</v>
      </c>
      <c r="D36">
        <v>28.067</v>
      </c>
      <c r="E36">
        <v>0.1249</v>
      </c>
      <c r="F36">
        <v>2745.6</v>
      </c>
      <c r="G36" s="4">
        <f t="shared" si="0"/>
        <v>0.8863153218722275</v>
      </c>
      <c r="H36" s="5">
        <f t="shared" si="1"/>
        <v>82325.294620760935</v>
      </c>
      <c r="I36" s="4">
        <f t="shared" si="8"/>
        <v>1.7659064275420335</v>
      </c>
      <c r="J36" s="6">
        <f t="shared" si="9"/>
        <v>291.21148596565234</v>
      </c>
      <c r="K36" s="6">
        <f t="shared" si="11"/>
        <v>1818.6157298554988</v>
      </c>
      <c r="L36" s="7">
        <f t="shared" si="12"/>
        <v>1.5098802206213715</v>
      </c>
      <c r="M36" s="5">
        <f t="shared" si="13"/>
        <v>865.84684104623977</v>
      </c>
      <c r="N36" s="6">
        <f t="shared" si="2"/>
        <v>1624.7753050704437</v>
      </c>
      <c r="O36" s="8">
        <f t="shared" si="3"/>
        <v>1.0049565794768802</v>
      </c>
      <c r="P36" s="8">
        <f t="shared" si="4"/>
        <v>2.8381680838227476E-3</v>
      </c>
      <c r="Q36" s="8">
        <f t="shared" si="5"/>
        <v>0.42805982132797765</v>
      </c>
      <c r="R36" s="4">
        <f t="shared" si="6"/>
        <v>2.4660707515335187</v>
      </c>
      <c r="S36" s="5">
        <f t="shared" si="14"/>
        <v>28235.190723809217</v>
      </c>
      <c r="T36" s="4">
        <f t="shared" si="15"/>
        <v>6.6631707705021643</v>
      </c>
      <c r="U36" s="6">
        <f t="shared" si="16"/>
        <v>191.57043502135497</v>
      </c>
      <c r="V36" s="6">
        <f t="shared" si="10"/>
        <v>4100.1803093482076</v>
      </c>
      <c r="W36" s="7">
        <f t="shared" si="7"/>
        <v>1.0042868020071898</v>
      </c>
      <c r="X36" s="6">
        <f t="shared" si="17"/>
        <v>182.54645159129018</v>
      </c>
      <c r="Y36" s="6">
        <f t="shared" si="18"/>
        <v>0.22034121362443415</v>
      </c>
      <c r="Z36" s="6">
        <f t="shared" si="19"/>
        <v>5.4657843002872823</v>
      </c>
      <c r="AB36" s="9"/>
    </row>
    <row r="37" spans="1:29" x14ac:dyDescent="0.3">
      <c r="A37">
        <v>690</v>
      </c>
      <c r="B37">
        <v>124.89</v>
      </c>
      <c r="C37">
        <v>7.1443000000000003</v>
      </c>
      <c r="D37">
        <v>28.088000000000001</v>
      </c>
      <c r="E37">
        <v>0.11967999999999999</v>
      </c>
      <c r="F37">
        <v>2783</v>
      </c>
      <c r="G37" s="4">
        <f t="shared" si="0"/>
        <v>0.92506367368119824</v>
      </c>
      <c r="H37" s="5">
        <f t="shared" si="1"/>
        <v>82263.744094307069</v>
      </c>
      <c r="I37" s="4">
        <f t="shared" si="8"/>
        <v>1.6767137232620322</v>
      </c>
      <c r="J37" s="6">
        <f t="shared" si="9"/>
        <v>286.05141212860383</v>
      </c>
      <c r="K37" s="6">
        <f t="shared" si="11"/>
        <v>1711.7316501775651</v>
      </c>
      <c r="L37" s="7">
        <f t="shared" si="12"/>
        <v>1.3574403906547969</v>
      </c>
      <c r="M37" s="5">
        <f t="shared" si="13"/>
        <v>867.2775901797736</v>
      </c>
      <c r="N37" s="6">
        <f t="shared" si="2"/>
        <v>1623.9690779336975</v>
      </c>
      <c r="O37" s="8">
        <f t="shared" si="3"/>
        <v>1.0042412049101133</v>
      </c>
      <c r="P37" s="8">
        <f t="shared" si="4"/>
        <v>2.8316642882876327E-3</v>
      </c>
      <c r="Q37" s="8">
        <f t="shared" si="5"/>
        <v>0.42768782655325888</v>
      </c>
      <c r="R37" s="4">
        <f t="shared" si="6"/>
        <v>2.4672950440327037</v>
      </c>
      <c r="S37" s="5">
        <f t="shared" si="14"/>
        <v>28300.041599007309</v>
      </c>
      <c r="T37" s="4">
        <f t="shared" si="15"/>
        <v>6.6489476207169886</v>
      </c>
      <c r="U37" s="6">
        <f t="shared" si="16"/>
        <v>191.78789905076971</v>
      </c>
      <c r="V37" s="6">
        <f t="shared" si="10"/>
        <v>4101.2674852119753</v>
      </c>
      <c r="W37" s="7">
        <f t="shared" si="7"/>
        <v>1.0385570988072439</v>
      </c>
      <c r="X37" s="6">
        <f t="shared" si="17"/>
        <v>179.05628662664225</v>
      </c>
      <c r="Y37" s="6">
        <f t="shared" si="18"/>
        <v>0.20884806399218084</v>
      </c>
      <c r="Z37" s="6">
        <f t="shared" si="19"/>
        <v>5.6746323642794634</v>
      </c>
    </row>
    <row r="38" spans="1:29" x14ac:dyDescent="0.3">
      <c r="A38">
        <v>695</v>
      </c>
      <c r="B38">
        <v>120.23</v>
      </c>
      <c r="C38">
        <v>6.5860000000000003</v>
      </c>
      <c r="D38">
        <v>28.148</v>
      </c>
      <c r="E38">
        <v>0.11559999999999999</v>
      </c>
      <c r="F38">
        <v>2817.3</v>
      </c>
      <c r="G38" s="4">
        <f t="shared" si="0"/>
        <v>0.96091825838846257</v>
      </c>
      <c r="H38" s="5">
        <f t="shared" si="1"/>
        <v>82088.391506355591</v>
      </c>
      <c r="I38" s="4">
        <f t="shared" si="8"/>
        <v>1.6036568166089966</v>
      </c>
      <c r="J38" s="6">
        <f t="shared" si="9"/>
        <v>281.35129618940522</v>
      </c>
      <c r="K38" s="6">
        <f t="shared" si="11"/>
        <v>1626.2104919747621</v>
      </c>
      <c r="L38" s="7">
        <f t="shared" si="12"/>
        <v>1.244925278060419</v>
      </c>
      <c r="M38" s="5">
        <f t="shared" si="13"/>
        <v>868.59068252744282</v>
      </c>
      <c r="N38" s="6">
        <f t="shared" si="2"/>
        <v>1623.2291503957858</v>
      </c>
      <c r="O38" s="8">
        <f t="shared" si="3"/>
        <v>1.0035846587362787</v>
      </c>
      <c r="P38" s="8">
        <f t="shared" si="4"/>
        <v>2.8257272395180075E-3</v>
      </c>
      <c r="Q38" s="8">
        <f t="shared" si="5"/>
        <v>0.42734642254286487</v>
      </c>
      <c r="R38" s="4">
        <f t="shared" si="6"/>
        <v>2.4684197278438513</v>
      </c>
      <c r="S38" s="5">
        <f t="shared" si="14"/>
        <v>28359.501947764962</v>
      </c>
      <c r="T38" s="4">
        <f t="shared" si="15"/>
        <v>6.635966414505404</v>
      </c>
      <c r="U38" s="6">
        <f t="shared" si="16"/>
        <v>191.98710902280888</v>
      </c>
      <c r="V38" s="6">
        <f t="shared" si="10"/>
        <v>4102.2502107622176</v>
      </c>
      <c r="W38" s="7">
        <f t="shared" si="7"/>
        <v>1.0692215122507995</v>
      </c>
      <c r="X38" s="6">
        <f t="shared" si="17"/>
        <v>175.42767918750198</v>
      </c>
      <c r="Y38" s="6">
        <f t="shared" si="18"/>
        <v>0.20127124667702562</v>
      </c>
      <c r="Z38" s="6">
        <f t="shared" si="19"/>
        <v>5.8759036109564891</v>
      </c>
    </row>
    <row r="39" spans="1:29" x14ac:dyDescent="0.3">
      <c r="A39">
        <v>700</v>
      </c>
      <c r="B39">
        <v>116.17</v>
      </c>
      <c r="C39">
        <v>6.1361999999999997</v>
      </c>
      <c r="D39">
        <v>28.236999999999998</v>
      </c>
      <c r="E39">
        <v>0.11234</v>
      </c>
      <c r="F39">
        <v>2849</v>
      </c>
      <c r="G39" s="4">
        <f t="shared" si="0"/>
        <v>0.99450118107983865</v>
      </c>
      <c r="H39" s="5">
        <f t="shared" si="1"/>
        <v>81829.657687463157</v>
      </c>
      <c r="I39" s="4">
        <f t="shared" si="8"/>
        <v>1.5423524959943029</v>
      </c>
      <c r="J39" s="6">
        <f t="shared" si="9"/>
        <v>277.01459934773453</v>
      </c>
      <c r="K39" s="6">
        <f t="shared" si="11"/>
        <v>1555.9910045362246</v>
      </c>
      <c r="L39" s="7">
        <f t="shared" si="12"/>
        <v>1.1505577642715699</v>
      </c>
      <c r="M39" s="5">
        <f t="shared" si="13"/>
        <v>869.80503408893742</v>
      </c>
      <c r="N39" s="6">
        <f t="shared" si="2"/>
        <v>1622.5448632908835</v>
      </c>
      <c r="O39" s="8">
        <f t="shared" si="3"/>
        <v>1.0029774829555314</v>
      </c>
      <c r="P39" s="8">
        <f t="shared" si="4"/>
        <v>2.8202636262780858E-3</v>
      </c>
      <c r="Q39" s="8">
        <f t="shared" si="5"/>
        <v>0.42703069113687631</v>
      </c>
      <c r="R39" s="4">
        <f t="shared" si="6"/>
        <v>2.4694607516253595</v>
      </c>
      <c r="S39" s="5">
        <f t="shared" si="14"/>
        <v>28414.441971412278</v>
      </c>
      <c r="T39" s="4">
        <f t="shared" si="15"/>
        <v>6.6240225160977069</v>
      </c>
      <c r="U39" s="6">
        <f t="shared" si="16"/>
        <v>192.17102389063041</v>
      </c>
      <c r="V39" s="6">
        <f t="shared" si="10"/>
        <v>4103.1462574248535</v>
      </c>
      <c r="W39" s="7">
        <f t="shared" si="7"/>
        <v>1.0969189697736548</v>
      </c>
      <c r="X39" s="6">
        <f t="shared" si="17"/>
        <v>171.690902485366</v>
      </c>
      <c r="Y39" s="6">
        <f t="shared" si="18"/>
        <v>0.19498651283956581</v>
      </c>
      <c r="Z39" s="6">
        <f t="shared" si="19"/>
        <v>6.0708901237960546</v>
      </c>
    </row>
    <row r="40" spans="1:29" x14ac:dyDescent="0.3">
      <c r="A40">
        <v>705</v>
      </c>
      <c r="B40">
        <v>112.58</v>
      </c>
      <c r="C40">
        <v>5.7652999999999999</v>
      </c>
      <c r="D40">
        <v>28.346</v>
      </c>
      <c r="E40">
        <v>0.10969</v>
      </c>
      <c r="F40">
        <v>2878.8</v>
      </c>
      <c r="G40" s="4">
        <f t="shared" si="0"/>
        <v>1.0262142672414714</v>
      </c>
      <c r="H40" s="5">
        <f t="shared" si="1"/>
        <v>81514.994853626515</v>
      </c>
      <c r="I40" s="4">
        <f t="shared" si="8"/>
        <v>1.4898641061172395</v>
      </c>
      <c r="J40" s="6">
        <f t="shared" si="9"/>
        <v>272.98788948906935</v>
      </c>
      <c r="K40" s="6">
        <f t="shared" si="11"/>
        <v>1497.2020799028007</v>
      </c>
      <c r="L40" s="7">
        <f t="shared" si="12"/>
        <v>1.0815968888105107</v>
      </c>
      <c r="M40" s="5">
        <f t="shared" si="13"/>
        <v>870.94729224620608</v>
      </c>
      <c r="N40" s="6">
        <f t="shared" si="2"/>
        <v>1621.9012008192626</v>
      </c>
      <c r="O40" s="8">
        <f t="shared" si="3"/>
        <v>1.002406353876897</v>
      </c>
      <c r="P40" s="8">
        <f t="shared" si="4"/>
        <v>2.8151478852147522E-3</v>
      </c>
      <c r="Q40" s="8">
        <f t="shared" si="5"/>
        <v>0.42673370401598643</v>
      </c>
      <c r="R40" s="4">
        <f t="shared" si="6"/>
        <v>2.470440773842594</v>
      </c>
      <c r="S40" s="5">
        <f t="shared" si="14"/>
        <v>28466.077243700565</v>
      </c>
      <c r="T40" s="4">
        <f t="shared" si="15"/>
        <v>6.6128409841671694</v>
      </c>
      <c r="U40" s="6">
        <f t="shared" si="16"/>
        <v>192.34374458890611</v>
      </c>
      <c r="V40" s="6">
        <f t="shared" si="10"/>
        <v>4103.9779286364374</v>
      </c>
      <c r="W40" s="7">
        <f t="shared" si="7"/>
        <v>1.1221048541350005</v>
      </c>
      <c r="X40" s="6">
        <f t="shared" si="17"/>
        <v>167.86877543217247</v>
      </c>
      <c r="Y40" s="6">
        <f t="shared" si="18"/>
        <v>0.19177757792647215</v>
      </c>
      <c r="Z40" s="6">
        <f t="shared" si="19"/>
        <v>6.2626677017225267</v>
      </c>
    </row>
    <row r="41" spans="1:29" x14ac:dyDescent="0.3">
      <c r="A41">
        <v>710</v>
      </c>
      <c r="B41">
        <v>109.38</v>
      </c>
      <c r="C41">
        <v>5.4541000000000004</v>
      </c>
      <c r="D41">
        <v>28.471</v>
      </c>
      <c r="E41">
        <v>0.10750999999999999</v>
      </c>
      <c r="F41">
        <v>2906.8</v>
      </c>
      <c r="G41" s="4">
        <f t="shared" si="0"/>
        <v>1.056236992192767</v>
      </c>
      <c r="H41" s="5">
        <f t="shared" si="1"/>
        <v>81157.108781598712</v>
      </c>
      <c r="I41" s="4">
        <f t="shared" si="8"/>
        <v>1.4443649995349273</v>
      </c>
      <c r="J41" s="6">
        <f t="shared" si="9"/>
        <v>269.22486939822426</v>
      </c>
      <c r="K41" s="6">
        <f t="shared" si="11"/>
        <v>1447.2182854501543</v>
      </c>
      <c r="L41" s="7">
        <f t="shared" si="12"/>
        <v>1.0162655331105408</v>
      </c>
      <c r="M41" s="5">
        <f t="shared" si="13"/>
        <v>872.02116644436126</v>
      </c>
      <c r="N41" s="6">
        <f t="shared" si="2"/>
        <v>1621.2960727086022</v>
      </c>
      <c r="O41" s="8">
        <f t="shared" si="3"/>
        <v>1.0018694167778195</v>
      </c>
      <c r="P41" s="8">
        <f t="shared" si="4"/>
        <v>2.810359063936852E-3</v>
      </c>
      <c r="Q41" s="8">
        <f t="shared" si="5"/>
        <v>0.42645449672446611</v>
      </c>
      <c r="R41" s="4">
        <f t="shared" si="6"/>
        <v>2.4713628343984282</v>
      </c>
      <c r="S41" s="5">
        <f t="shared" si="14"/>
        <v>28514.58312971074</v>
      </c>
      <c r="T41" s="4">
        <f t="shared" si="15"/>
        <v>6.6023756765351944</v>
      </c>
      <c r="U41" s="6">
        <f t="shared" si="16"/>
        <v>192.50588201155992</v>
      </c>
      <c r="V41" s="6">
        <f t="shared" si="10"/>
        <v>4104.7499514869623</v>
      </c>
      <c r="W41" s="7">
        <f t="shared" si="7"/>
        <v>1.1451272811633666</v>
      </c>
      <c r="X41" s="6">
        <f t="shared" si="17"/>
        <v>163.97639573989105</v>
      </c>
      <c r="Y41" s="6">
        <f t="shared" si="18"/>
        <v>0.1882558596566167</v>
      </c>
      <c r="Z41" s="6">
        <f t="shared" si="19"/>
        <v>6.4509235613791436</v>
      </c>
    </row>
    <row r="42" spans="1:29" x14ac:dyDescent="0.3">
      <c r="A42">
        <v>715</v>
      </c>
      <c r="B42">
        <v>106.48</v>
      </c>
      <c r="C42">
        <v>5.1889000000000003</v>
      </c>
      <c r="D42">
        <v>28.608000000000001</v>
      </c>
      <c r="E42">
        <v>0.10569000000000001</v>
      </c>
      <c r="F42">
        <v>2933.4</v>
      </c>
      <c r="G42" s="4">
        <f t="shared" si="0"/>
        <v>1.0850037772919314</v>
      </c>
      <c r="H42" s="5">
        <f t="shared" si="1"/>
        <v>80768.457918096246</v>
      </c>
      <c r="I42" s="4">
        <f t="shared" si="8"/>
        <v>1.4045231450468352</v>
      </c>
      <c r="J42" s="6">
        <f t="shared" si="9"/>
        <v>265.69756762300847</v>
      </c>
      <c r="K42" s="6">
        <f t="shared" si="11"/>
        <v>1404.0787961037884</v>
      </c>
      <c r="L42" s="7">
        <f t="shared" si="12"/>
        <v>0.96545225645501043</v>
      </c>
      <c r="M42" s="5">
        <f t="shared" si="13"/>
        <v>873.04189368325569</v>
      </c>
      <c r="N42" s="6">
        <f t="shared" si="2"/>
        <v>1620.7208929094852</v>
      </c>
      <c r="O42" s="8">
        <f t="shared" si="3"/>
        <v>1.0013590531583723</v>
      </c>
      <c r="P42" s="8">
        <f t="shared" si="4"/>
        <v>2.8058256910145356E-3</v>
      </c>
      <c r="Q42" s="8">
        <f t="shared" si="5"/>
        <v>0.42618910764235352</v>
      </c>
      <c r="R42" s="4">
        <f t="shared" si="6"/>
        <v>2.4722398996505968</v>
      </c>
      <c r="S42" s="5">
        <f t="shared" si="14"/>
        <v>28560.654145264321</v>
      </c>
      <c r="T42" s="4">
        <f t="shared" si="15"/>
        <v>6.5924701192493274</v>
      </c>
      <c r="U42" s="6">
        <f t="shared" si="16"/>
        <v>192.65977741244291</v>
      </c>
      <c r="V42" s="6">
        <f t="shared" si="10"/>
        <v>4105.4749306991753</v>
      </c>
      <c r="W42" s="7">
        <f t="shared" si="7"/>
        <v>1.1663142354297398</v>
      </c>
      <c r="X42" s="6">
        <f t="shared" si="17"/>
        <v>160.02328415519852</v>
      </c>
      <c r="Y42" s="6">
        <f t="shared" si="18"/>
        <v>0.18665175614824486</v>
      </c>
      <c r="Z42" s="6">
        <f t="shared" si="19"/>
        <v>6.6375753175273884</v>
      </c>
    </row>
    <row r="43" spans="1:29" x14ac:dyDescent="0.3">
      <c r="A43">
        <v>720</v>
      </c>
      <c r="B43">
        <v>103.85</v>
      </c>
      <c r="C43">
        <v>4.9602000000000004</v>
      </c>
      <c r="D43">
        <v>28.754999999999999</v>
      </c>
      <c r="E43">
        <v>0.10417999999999999</v>
      </c>
      <c r="F43">
        <v>2958.7</v>
      </c>
      <c r="G43" s="4">
        <f t="shared" si="0"/>
        <v>1.1124814848921027</v>
      </c>
      <c r="H43" s="5">
        <f t="shared" si="1"/>
        <v>80355.557089928625</v>
      </c>
      <c r="I43" s="4">
        <f t="shared" si="8"/>
        <v>1.3690780476099063</v>
      </c>
      <c r="J43" s="6">
        <f t="shared" si="9"/>
        <v>262.35872895679438</v>
      </c>
      <c r="K43" s="6">
        <f t="shared" si="11"/>
        <v>1366.6266191359418</v>
      </c>
      <c r="L43" s="7">
        <f t="shared" si="12"/>
        <v>0.91826849956058587</v>
      </c>
      <c r="M43" s="5">
        <f t="shared" si="13"/>
        <v>874.01323056634078</v>
      </c>
      <c r="N43" s="6">
        <f t="shared" si="2"/>
        <v>1620.1735445758668</v>
      </c>
      <c r="O43" s="8">
        <f t="shared" si="3"/>
        <v>1.0008733847168296</v>
      </c>
      <c r="P43" s="8">
        <f t="shared" si="4"/>
        <v>2.8015282765973051E-3</v>
      </c>
      <c r="Q43" s="8">
        <f t="shared" si="5"/>
        <v>0.42593656005275138</v>
      </c>
      <c r="R43" s="4">
        <f t="shared" si="6"/>
        <v>2.4730751042457522</v>
      </c>
      <c r="S43" s="5">
        <f t="shared" si="14"/>
        <v>28604.464863833426</v>
      </c>
      <c r="T43" s="4">
        <f t="shared" si="15"/>
        <v>6.5830814998143961</v>
      </c>
      <c r="U43" s="6">
        <f t="shared" si="16"/>
        <v>192.80602966411027</v>
      </c>
      <c r="V43" s="6">
        <f t="shared" si="10"/>
        <v>4106.1568516279931</v>
      </c>
      <c r="W43" s="7">
        <f t="shared" si="7"/>
        <v>1.185791801715341</v>
      </c>
      <c r="X43" s="6">
        <f t="shared" si="17"/>
        <v>156.01889333165437</v>
      </c>
      <c r="Y43" s="6">
        <f t="shared" si="18"/>
        <v>0.18512702330297195</v>
      </c>
      <c r="Z43" s="6">
        <f t="shared" si="19"/>
        <v>6.82270234083036</v>
      </c>
    </row>
    <row r="44" spans="1:29" x14ac:dyDescent="0.3">
      <c r="A44">
        <v>725</v>
      </c>
      <c r="B44">
        <v>101.43</v>
      </c>
      <c r="C44">
        <v>4.7610000000000001</v>
      </c>
      <c r="D44">
        <v>28.91</v>
      </c>
      <c r="E44">
        <v>0.10291</v>
      </c>
      <c r="F44">
        <v>2983</v>
      </c>
      <c r="G44" s="4">
        <f t="shared" si="0"/>
        <v>1.1390239791584822</v>
      </c>
      <c r="H44" s="5">
        <f t="shared" si="1"/>
        <v>79924.733452815533</v>
      </c>
      <c r="I44" s="4">
        <f t="shared" si="8"/>
        <v>1.337484306675736</v>
      </c>
      <c r="J44" s="6">
        <f t="shared" si="9"/>
        <v>259.20073668666498</v>
      </c>
      <c r="K44" s="6">
        <f t="shared" si="11"/>
        <v>1333.7173906212345</v>
      </c>
      <c r="L44" s="7">
        <f t="shared" si="12"/>
        <v>0.88197330194951162</v>
      </c>
      <c r="M44" s="5">
        <f t="shared" si="13"/>
        <v>874.94662739337923</v>
      </c>
      <c r="N44" s="6">
        <f t="shared" si="2"/>
        <v>1619.6475754638307</v>
      </c>
      <c r="O44" s="8">
        <f t="shared" si="3"/>
        <v>1.0004066863033105</v>
      </c>
      <c r="P44" s="8">
        <f t="shared" si="4"/>
        <v>2.7974138888698782E-3</v>
      </c>
      <c r="Q44" s="8">
        <f t="shared" si="5"/>
        <v>0.42569387687772142</v>
      </c>
      <c r="R44" s="4">
        <f t="shared" si="6"/>
        <v>2.4738782179207788</v>
      </c>
      <c r="S44" s="5">
        <f t="shared" si="14"/>
        <v>28646.535813596573</v>
      </c>
      <c r="T44" s="4">
        <f t="shared" si="15"/>
        <v>6.5740939928695354</v>
      </c>
      <c r="U44" s="6">
        <f t="shared" si="16"/>
        <v>192.94638918405948</v>
      </c>
      <c r="V44" s="6">
        <f t="shared" si="10"/>
        <v>4106.8048220659966</v>
      </c>
      <c r="W44" s="7">
        <f t="shared" si="7"/>
        <v>1.2038086475743743</v>
      </c>
      <c r="X44" s="6">
        <f t="shared" si="17"/>
        <v>151.97086086864664</v>
      </c>
      <c r="Y44" s="6">
        <f t="shared" si="18"/>
        <v>0.18531964315911459</v>
      </c>
      <c r="Z44" s="6">
        <f t="shared" si="19"/>
        <v>7.0080219839894742</v>
      </c>
    </row>
    <row r="45" spans="1:29" x14ac:dyDescent="0.3">
      <c r="A45">
        <v>730</v>
      </c>
      <c r="B45">
        <v>99.206000000000003</v>
      </c>
      <c r="C45">
        <v>4.5858999999999996</v>
      </c>
      <c r="D45">
        <v>29.071999999999999</v>
      </c>
      <c r="E45">
        <v>0.10184</v>
      </c>
      <c r="F45">
        <v>3006.4</v>
      </c>
      <c r="G45" s="4">
        <f t="shared" si="0"/>
        <v>1.1645586174832656</v>
      </c>
      <c r="H45" s="5">
        <f t="shared" si="1"/>
        <v>79479.363102672578</v>
      </c>
      <c r="I45" s="4">
        <f t="shared" si="8"/>
        <v>1.3091249489395129</v>
      </c>
      <c r="J45" s="6">
        <f t="shared" si="9"/>
        <v>256.20058143628245</v>
      </c>
      <c r="K45" s="6">
        <f t="shared" si="11"/>
        <v>1304.5733606735503</v>
      </c>
      <c r="L45" s="7">
        <f t="shared" si="12"/>
        <v>0.84930762409952665</v>
      </c>
      <c r="M45" s="5">
        <f t="shared" si="13"/>
        <v>875.84587327797283</v>
      </c>
      <c r="N45" s="6">
        <f t="shared" si="2"/>
        <v>1619.1408504078622</v>
      </c>
      <c r="O45" s="8">
        <f t="shared" si="3"/>
        <v>0.99995706336101364</v>
      </c>
      <c r="P45" s="8">
        <f t="shared" si="4"/>
        <v>2.7934640288297618E-3</v>
      </c>
      <c r="Q45" s="8">
        <f t="shared" si="5"/>
        <v>0.42546007294772703</v>
      </c>
      <c r="R45" s="4">
        <f t="shared" si="6"/>
        <v>2.4746524409157202</v>
      </c>
      <c r="S45" s="5">
        <f t="shared" si="14"/>
        <v>28687.041009271237</v>
      </c>
      <c r="T45" s="4">
        <f t="shared" si="15"/>
        <v>6.5654670425829389</v>
      </c>
      <c r="U45" s="6">
        <f t="shared" si="16"/>
        <v>193.08144661590583</v>
      </c>
      <c r="V45" s="6">
        <f t="shared" si="10"/>
        <v>4107.4223181027983</v>
      </c>
      <c r="W45" s="7">
        <f t="shared" si="7"/>
        <v>1.2205221362418688</v>
      </c>
      <c r="X45" s="6">
        <f t="shared" si="17"/>
        <v>147.88677463551028</v>
      </c>
      <c r="Y45" s="6">
        <f t="shared" si="18"/>
        <v>0.18593032448639754</v>
      </c>
      <c r="Z45" s="6">
        <f t="shared" si="19"/>
        <v>7.1939523084758719</v>
      </c>
    </row>
    <row r="46" spans="1:29" x14ac:dyDescent="0.3">
      <c r="A46">
        <v>735</v>
      </c>
      <c r="B46">
        <v>97.143000000000001</v>
      </c>
      <c r="C46">
        <v>4.4309000000000003</v>
      </c>
      <c r="D46">
        <v>29.239000000000001</v>
      </c>
      <c r="E46">
        <v>0.10094</v>
      </c>
      <c r="F46">
        <v>3028.9</v>
      </c>
      <c r="G46" s="4">
        <f t="shared" si="0"/>
        <v>1.1892900384592286</v>
      </c>
      <c r="H46" s="5">
        <f t="shared" si="1"/>
        <v>79025.412774749377</v>
      </c>
      <c r="I46" s="4">
        <f t="shared" si="8"/>
        <v>1.2834860818307907</v>
      </c>
      <c r="J46" s="6">
        <f t="shared" si="9"/>
        <v>253.34613124014092</v>
      </c>
      <c r="K46" s="6">
        <f t="shared" si="11"/>
        <v>1278.6379243689912</v>
      </c>
      <c r="L46" s="7">
        <f t="shared" si="12"/>
        <v>0.81664194624954167</v>
      </c>
      <c r="M46" s="5">
        <f t="shared" si="13"/>
        <v>876.71092156983343</v>
      </c>
      <c r="N46" s="6">
        <f t="shared" si="2"/>
        <v>1618.6533956953986</v>
      </c>
      <c r="O46" s="8">
        <f t="shared" si="3"/>
        <v>0.99952453921508333</v>
      </c>
      <c r="P46" s="8">
        <f t="shared" si="4"/>
        <v>2.7896772724866213E-3</v>
      </c>
      <c r="Q46" s="8">
        <f t="shared" si="5"/>
        <v>0.42523516039184328</v>
      </c>
      <c r="R46" s="4">
        <f t="shared" si="6"/>
        <v>2.4753976782823126</v>
      </c>
      <c r="S46" s="5">
        <f t="shared" si="14"/>
        <v>28725.981296586608</v>
      </c>
      <c r="T46" s="4">
        <f t="shared" si="15"/>
        <v>6.5571974052465158</v>
      </c>
      <c r="U46" s="6">
        <f t="shared" si="16"/>
        <v>193.21121392687931</v>
      </c>
      <c r="V46" s="6">
        <f t="shared" si="10"/>
        <v>4108.0100771849638</v>
      </c>
      <c r="W46" s="7">
        <f t="shared" si="7"/>
        <v>1.2360354078494098</v>
      </c>
      <c r="X46" s="6">
        <f t="shared" si="17"/>
        <v>143.7684870521073</v>
      </c>
      <c r="Y46" s="6">
        <f t="shared" si="18"/>
        <v>0.18623777483264392</v>
      </c>
      <c r="Z46" s="6">
        <f t="shared" si="19"/>
        <v>7.3801900833085154</v>
      </c>
    </row>
    <row r="47" spans="1:29" x14ac:dyDescent="0.3">
      <c r="A47">
        <v>740</v>
      </c>
      <c r="B47">
        <v>95.221999999999994</v>
      </c>
      <c r="C47">
        <v>4.2927</v>
      </c>
      <c r="D47">
        <v>29.41</v>
      </c>
      <c r="E47">
        <v>0.10019</v>
      </c>
      <c r="F47">
        <v>3050.7</v>
      </c>
      <c r="G47" s="4">
        <f t="shared" si="0"/>
        <v>1.213282667934352</v>
      </c>
      <c r="H47" s="5">
        <f t="shared" si="1"/>
        <v>78565.931455997881</v>
      </c>
      <c r="I47" s="4">
        <f t="shared" si="8"/>
        <v>1.2600889010879326</v>
      </c>
      <c r="J47" s="6">
        <f t="shared" si="9"/>
        <v>250.61801221862714</v>
      </c>
      <c r="K47" s="6">
        <f t="shared" si="11"/>
        <v>1255.4709322092126</v>
      </c>
      <c r="L47" s="7">
        <f t="shared" si="12"/>
        <v>0.79123530792176822</v>
      </c>
      <c r="M47" s="5">
        <f t="shared" si="13"/>
        <v>877.54941993453099</v>
      </c>
      <c r="N47" s="6">
        <f t="shared" si="2"/>
        <v>1618.1809018668916</v>
      </c>
      <c r="O47" s="8">
        <f t="shared" si="3"/>
        <v>0.99910529003273452</v>
      </c>
      <c r="P47" s="8">
        <f t="shared" si="4"/>
        <v>2.7860187493424535E-3</v>
      </c>
      <c r="Q47" s="8">
        <f t="shared" si="5"/>
        <v>0.42501715081702196</v>
      </c>
      <c r="R47" s="4">
        <f t="shared" si="6"/>
        <v>2.4761204714661522</v>
      </c>
      <c r="S47" s="5">
        <f t="shared" si="14"/>
        <v>28763.703464622016</v>
      </c>
      <c r="T47" s="4">
        <f t="shared" si="15"/>
        <v>6.5492088148621317</v>
      </c>
      <c r="U47" s="6">
        <f t="shared" si="16"/>
        <v>193.33685460644867</v>
      </c>
      <c r="V47" s="6">
        <f t="shared" si="10"/>
        <v>4108.5739546378818</v>
      </c>
      <c r="W47" s="7">
        <f t="shared" si="7"/>
        <v>1.250433629698354</v>
      </c>
      <c r="X47" s="6">
        <f t="shared" si="17"/>
        <v>139.61983444650832</v>
      </c>
      <c r="Y47" s="6">
        <f t="shared" si="18"/>
        <v>0.18796979453619919</v>
      </c>
      <c r="Z47" s="6">
        <f t="shared" si="19"/>
        <v>7.5681598778447148</v>
      </c>
    </row>
    <row r="48" spans="1:29" x14ac:dyDescent="0.3">
      <c r="A48">
        <v>745</v>
      </c>
      <c r="B48">
        <v>93.426000000000002</v>
      </c>
      <c r="C48">
        <v>4.1688000000000001</v>
      </c>
      <c r="D48">
        <v>29.584</v>
      </c>
      <c r="E48">
        <v>9.9569000000000005E-2</v>
      </c>
      <c r="F48">
        <v>3071.9</v>
      </c>
      <c r="G48" s="4">
        <f t="shared" si="0"/>
        <v>1.2366065357185885</v>
      </c>
      <c r="H48" s="5">
        <f t="shared" si="1"/>
        <v>78103.841404843741</v>
      </c>
      <c r="I48" s="4">
        <f t="shared" si="8"/>
        <v>1.2386363145155619</v>
      </c>
      <c r="J48" s="6">
        <f t="shared" si="9"/>
        <v>248.00713974464728</v>
      </c>
      <c r="K48" s="6">
        <f t="shared" si="11"/>
        <v>1234.6911448617393</v>
      </c>
      <c r="L48" s="7">
        <f t="shared" si="12"/>
        <v>0.76945818935513366</v>
      </c>
      <c r="M48" s="5">
        <f t="shared" si="13"/>
        <v>878.36518253307668</v>
      </c>
      <c r="N48" s="6">
        <f t="shared" si="2"/>
        <v>1617.7212196426112</v>
      </c>
      <c r="O48" s="8">
        <f t="shared" si="3"/>
        <v>0.99869740873346169</v>
      </c>
      <c r="P48" s="8">
        <f t="shared" si="4"/>
        <v>2.7824707216689512E-3</v>
      </c>
      <c r="Q48" s="8">
        <f t="shared" si="5"/>
        <v>0.42480505254140011</v>
      </c>
      <c r="R48" s="4">
        <f t="shared" si="6"/>
        <v>2.476824071414085</v>
      </c>
      <c r="S48" s="5">
        <f t="shared" si="14"/>
        <v>28800.381088968661</v>
      </c>
      <c r="T48" s="4">
        <f t="shared" si="15"/>
        <v>6.5414624496178497</v>
      </c>
      <c r="U48" s="6">
        <f t="shared" si="16"/>
        <v>193.45895294247578</v>
      </c>
      <c r="V48" s="6">
        <f t="shared" si="10"/>
        <v>4109.117033466634</v>
      </c>
      <c r="W48" s="7">
        <f t="shared" si="7"/>
        <v>1.2638067483568007</v>
      </c>
      <c r="X48" s="6">
        <f t="shared" si="17"/>
        <v>135.44652972357309</v>
      </c>
      <c r="Y48" s="6">
        <f t="shared" si="18"/>
        <v>0.19044373708363568</v>
      </c>
      <c r="Z48" s="6">
        <f t="shared" si="19"/>
        <v>7.7586036149283508</v>
      </c>
    </row>
    <row r="49" spans="1:26" x14ac:dyDescent="0.3">
      <c r="A49">
        <v>750</v>
      </c>
      <c r="B49">
        <v>91.741</v>
      </c>
      <c r="C49">
        <v>4.0571999999999999</v>
      </c>
      <c r="D49">
        <v>29.762</v>
      </c>
      <c r="E49">
        <v>9.9056000000000005E-2</v>
      </c>
      <c r="F49">
        <v>3092.4</v>
      </c>
      <c r="G49" s="4">
        <f t="shared" si="0"/>
        <v>1.2593191943192776</v>
      </c>
      <c r="H49" s="5">
        <f t="shared" si="1"/>
        <v>77636.719444959905</v>
      </c>
      <c r="I49" s="4">
        <f t="shared" si="8"/>
        <v>1.2190113309643029</v>
      </c>
      <c r="J49" s="6">
        <f t="shared" si="9"/>
        <v>245.50195830827067</v>
      </c>
      <c r="K49" s="6">
        <f t="shared" si="11"/>
        <v>1215.9220991092031</v>
      </c>
      <c r="L49" s="7">
        <f t="shared" si="12"/>
        <v>0.7440515510273602</v>
      </c>
      <c r="M49" s="5">
        <f t="shared" si="13"/>
        <v>879.15433174157408</v>
      </c>
      <c r="N49" s="6">
        <f t="shared" si="2"/>
        <v>1617.2765340636229</v>
      </c>
      <c r="O49" s="8">
        <f t="shared" si="3"/>
        <v>0.99830283412921306</v>
      </c>
      <c r="P49" s="8">
        <f t="shared" si="4"/>
        <v>2.7790489984255229E-3</v>
      </c>
      <c r="Q49" s="8">
        <f t="shared" si="5"/>
        <v>0.42459987374719077</v>
      </c>
      <c r="R49" s="4">
        <f t="shared" si="6"/>
        <v>2.4775050977710813</v>
      </c>
      <c r="S49" s="5">
        <f t="shared" si="14"/>
        <v>28835.841756789749</v>
      </c>
      <c r="T49" s="4">
        <f t="shared" si="15"/>
        <v>6.533992737275292</v>
      </c>
      <c r="U49" s="6">
        <f t="shared" si="16"/>
        <v>193.57694091960241</v>
      </c>
      <c r="V49" s="6">
        <f t="shared" si="10"/>
        <v>4109.6372337415296</v>
      </c>
      <c r="W49" s="7">
        <f t="shared" si="7"/>
        <v>1.2762779036235128</v>
      </c>
      <c r="X49" s="6">
        <f t="shared" si="17"/>
        <v>131.24849925608606</v>
      </c>
      <c r="Y49" s="6">
        <f t="shared" si="18"/>
        <v>0.19192113868620445</v>
      </c>
      <c r="Z49" s="6">
        <f t="shared" si="19"/>
        <v>7.9505247536145554</v>
      </c>
    </row>
    <row r="50" spans="1:26" x14ac:dyDescent="0.3">
      <c r="A50">
        <v>755</v>
      </c>
      <c r="B50">
        <v>90.155000000000001</v>
      </c>
      <c r="C50">
        <v>3.9561999999999999</v>
      </c>
      <c r="D50">
        <v>29.942</v>
      </c>
      <c r="E50">
        <v>9.8639000000000004E-2</v>
      </c>
      <c r="F50">
        <v>3112.5</v>
      </c>
      <c r="G50" s="4">
        <f t="shared" si="0"/>
        <v>1.2814730431595014</v>
      </c>
      <c r="H50" s="5">
        <f t="shared" si="1"/>
        <v>77169.996797839063</v>
      </c>
      <c r="I50" s="4">
        <f t="shared" si="8"/>
        <v>1.2009097861900464</v>
      </c>
      <c r="J50" s="6">
        <f t="shared" si="9"/>
        <v>243.09785461256541</v>
      </c>
      <c r="K50" s="6">
        <f t="shared" si="11"/>
        <v>1198.946464056442</v>
      </c>
      <c r="L50" s="7">
        <f t="shared" si="12"/>
        <v>0.72953347198292062</v>
      </c>
      <c r="M50" s="5">
        <f t="shared" si="13"/>
        <v>879.92838873832864</v>
      </c>
      <c r="N50" s="6">
        <f t="shared" si="2"/>
        <v>1616.8403529459515</v>
      </c>
      <c r="O50" s="8">
        <f t="shared" si="3"/>
        <v>0.99791580563083571</v>
      </c>
      <c r="P50" s="8">
        <f t="shared" si="4"/>
        <v>2.7757027540532835E-3</v>
      </c>
      <c r="Q50" s="8">
        <f t="shared" si="5"/>
        <v>0.42439861892803454</v>
      </c>
      <c r="R50" s="4">
        <f t="shared" si="6"/>
        <v>2.4781734636617601</v>
      </c>
      <c r="S50" s="5">
        <f t="shared" si="14"/>
        <v>28870.604763403677</v>
      </c>
      <c r="T50" s="4">
        <f t="shared" si="15"/>
        <v>6.5266886518132337</v>
      </c>
      <c r="U50" s="6">
        <f t="shared" si="16"/>
        <v>193.69255128224822</v>
      </c>
      <c r="V50" s="6">
        <f t="shared" si="10"/>
        <v>4110.1425630416825</v>
      </c>
      <c r="W50" s="7">
        <f t="shared" si="7"/>
        <v>1.2878924772932114</v>
      </c>
      <c r="X50" s="6">
        <f t="shared" si="17"/>
        <v>127.02964495302311</v>
      </c>
      <c r="Y50" s="6">
        <f t="shared" si="18"/>
        <v>0.19619531212599267</v>
      </c>
      <c r="Z50" s="6">
        <f t="shared" si="19"/>
        <v>8.1467200657405474</v>
      </c>
    </row>
    <row r="51" spans="1:26" x14ac:dyDescent="0.3">
      <c r="A51">
        <v>760</v>
      </c>
      <c r="B51">
        <v>88.658000000000001</v>
      </c>
      <c r="C51">
        <v>3.8645</v>
      </c>
      <c r="D51">
        <v>30.123999999999999</v>
      </c>
      <c r="E51">
        <v>9.8307000000000005E-2</v>
      </c>
      <c r="F51">
        <v>3132</v>
      </c>
      <c r="G51" s="4">
        <f t="shared" si="0"/>
        <v>1.3031108552645543</v>
      </c>
      <c r="H51" s="5">
        <f t="shared" si="1"/>
        <v>76703.75926573154</v>
      </c>
      <c r="I51" s="4">
        <f t="shared" si="8"/>
        <v>1.1841903221540684</v>
      </c>
      <c r="J51" s="6">
        <f t="shared" si="9"/>
        <v>240.78691092436557</v>
      </c>
      <c r="K51" s="6">
        <f t="shared" si="11"/>
        <v>1183.5519426120804</v>
      </c>
      <c r="L51" s="7">
        <f t="shared" si="12"/>
        <v>0.70775635341626941</v>
      </c>
      <c r="M51" s="5">
        <f t="shared" si="13"/>
        <v>880.67963080245704</v>
      </c>
      <c r="N51" s="6">
        <f t="shared" si="2"/>
        <v>1616.4170280428152</v>
      </c>
      <c r="O51" s="8">
        <f t="shared" si="3"/>
        <v>0.99754018459877147</v>
      </c>
      <c r="P51" s="8">
        <f t="shared" si="4"/>
        <v>2.7724646061549644E-3</v>
      </c>
      <c r="Q51" s="8">
        <f t="shared" si="5"/>
        <v>0.4242032959913612</v>
      </c>
      <c r="R51" s="4">
        <f t="shared" si="6"/>
        <v>2.478822474729609</v>
      </c>
      <c r="S51" s="5">
        <f t="shared" si="14"/>
        <v>28904.324684635591</v>
      </c>
      <c r="T51" s="4">
        <f t="shared" si="15"/>
        <v>6.5196213257940014</v>
      </c>
      <c r="U51" s="6">
        <f t="shared" si="16"/>
        <v>193.8046395858762</v>
      </c>
      <c r="V51" s="6">
        <f t="shared" si="10"/>
        <v>4110.6283445373256</v>
      </c>
      <c r="W51" s="7">
        <f t="shared" si="7"/>
        <v>1.2987124592325177</v>
      </c>
      <c r="X51" s="6">
        <f t="shared" si="17"/>
        <v>122.79175895924391</v>
      </c>
      <c r="Y51" s="6">
        <f t="shared" si="18"/>
        <v>0.19856213978534709</v>
      </c>
      <c r="Z51" s="6">
        <f t="shared" si="19"/>
        <v>8.3452822055258942</v>
      </c>
    </row>
    <row r="52" spans="1:26" x14ac:dyDescent="0.3">
      <c r="A52">
        <v>765</v>
      </c>
      <c r="B52">
        <v>87.24</v>
      </c>
      <c r="C52">
        <v>3.7808000000000002</v>
      </c>
      <c r="D52">
        <v>30.308</v>
      </c>
      <c r="E52">
        <v>9.8050999999999999E-2</v>
      </c>
      <c r="F52">
        <v>3151.1</v>
      </c>
      <c r="G52" s="4">
        <f t="shared" si="0"/>
        <v>1.3242916346405875</v>
      </c>
      <c r="H52" s="5">
        <f t="shared" si="1"/>
        <v>76238.090409162498</v>
      </c>
      <c r="I52" s="4">
        <f t="shared" si="8"/>
        <v>1.1686620880970107</v>
      </c>
      <c r="J52" s="6">
        <f t="shared" si="9"/>
        <v>238.55750809308958</v>
      </c>
      <c r="K52" s="6">
        <f t="shared" si="11"/>
        <v>1169.5401113017763</v>
      </c>
      <c r="L52" s="7">
        <f t="shared" si="12"/>
        <v>0.69323827437182983</v>
      </c>
      <c r="M52" s="5">
        <f t="shared" si="13"/>
        <v>881.41573984848105</v>
      </c>
      <c r="N52" s="6">
        <f t="shared" si="2"/>
        <v>1616.0022305953808</v>
      </c>
      <c r="O52" s="8">
        <f t="shared" si="3"/>
        <v>0.99717213007575944</v>
      </c>
      <c r="P52" s="8">
        <f t="shared" si="4"/>
        <v>2.7693006967153557E-3</v>
      </c>
      <c r="Q52" s="8">
        <f t="shared" si="5"/>
        <v>0.42401190763939489</v>
      </c>
      <c r="R52" s="4">
        <f t="shared" si="6"/>
        <v>2.4794587419424223</v>
      </c>
      <c r="S52" s="5">
        <f t="shared" si="14"/>
        <v>28937.347702260111</v>
      </c>
      <c r="T52" s="4">
        <f t="shared" si="15"/>
        <v>6.5127168006622469</v>
      </c>
      <c r="U52" s="6">
        <f t="shared" si="16"/>
        <v>193.91436077382545</v>
      </c>
      <c r="V52" s="6">
        <f t="shared" si="10"/>
        <v>4111.0999015191783</v>
      </c>
      <c r="W52" s="7">
        <f t="shared" si="7"/>
        <v>1.3088071640072185</v>
      </c>
      <c r="X52" s="6">
        <f t="shared" si="17"/>
        <v>118.53490401705388</v>
      </c>
      <c r="Y52" s="6">
        <f t="shared" si="18"/>
        <v>0.20303963542916717</v>
      </c>
      <c r="Z52" s="6">
        <f t="shared" si="19"/>
        <v>8.5483218409550616</v>
      </c>
    </row>
    <row r="53" spans="1:26" x14ac:dyDescent="0.3">
      <c r="A53">
        <v>770</v>
      </c>
      <c r="B53">
        <v>85.894999999999996</v>
      </c>
      <c r="C53">
        <v>3.7042000000000002</v>
      </c>
      <c r="D53">
        <v>30.492999999999999</v>
      </c>
      <c r="E53">
        <v>9.7863000000000006E-2</v>
      </c>
      <c r="F53">
        <v>3169.8</v>
      </c>
      <c r="G53" s="4">
        <f t="shared" si="0"/>
        <v>1.3450282578269381</v>
      </c>
      <c r="H53" s="5">
        <f t="shared" si="1"/>
        <v>75775.556492339136</v>
      </c>
      <c r="I53" s="4">
        <f t="shared" si="8"/>
        <v>1.1541866752500944</v>
      </c>
      <c r="J53" s="6">
        <f t="shared" si="9"/>
        <v>236.40751356877325</v>
      </c>
      <c r="K53" s="6">
        <f t="shared" si="11"/>
        <v>1156.7774250190428</v>
      </c>
      <c r="L53" s="7">
        <f t="shared" si="12"/>
        <v>0.67872019532740679</v>
      </c>
      <c r="M53" s="5">
        <f t="shared" si="13"/>
        <v>882.13669900485888</v>
      </c>
      <c r="N53" s="6">
        <f t="shared" si="2"/>
        <v>1615.5959701107618</v>
      </c>
      <c r="O53" s="8">
        <f t="shared" si="3"/>
        <v>0.99681165049757059</v>
      </c>
      <c r="P53" s="8">
        <f t="shared" si="4"/>
        <v>2.7662105135638675E-3</v>
      </c>
      <c r="Q53" s="8">
        <f t="shared" si="5"/>
        <v>0.42382445825873671</v>
      </c>
      <c r="R53" s="4">
        <f t="shared" si="6"/>
        <v>2.4800822308150923</v>
      </c>
      <c r="S53" s="5">
        <f t="shared" si="14"/>
        <v>28969.674130013824</v>
      </c>
      <c r="T53" s="4">
        <f t="shared" si="15"/>
        <v>6.5059739095236377</v>
      </c>
      <c r="U53" s="6">
        <f t="shared" si="16"/>
        <v>194.02171918503956</v>
      </c>
      <c r="V53" s="6">
        <f t="shared" si="10"/>
        <v>4111.5575012014069</v>
      </c>
      <c r="W53" s="7">
        <f t="shared" si="7"/>
        <v>1.3182136856625013</v>
      </c>
      <c r="X53" s="6">
        <f t="shared" si="17"/>
        <v>114.26286588843975</v>
      </c>
      <c r="Y53" s="6">
        <f t="shared" si="18"/>
        <v>0.20770184607568473</v>
      </c>
      <c r="Z53" s="6">
        <f t="shared" si="19"/>
        <v>8.756023687030746</v>
      </c>
    </row>
    <row r="54" spans="1:26" x14ac:dyDescent="0.3">
      <c r="A54">
        <v>775</v>
      </c>
      <c r="B54">
        <v>84.614999999999995</v>
      </c>
      <c r="C54">
        <v>3.6339000000000001</v>
      </c>
      <c r="D54">
        <v>30.68</v>
      </c>
      <c r="E54">
        <v>9.7737000000000004E-2</v>
      </c>
      <c r="F54">
        <v>3188.2</v>
      </c>
      <c r="G54" s="4">
        <f t="shared" si="0"/>
        <v>1.3653749595939828</v>
      </c>
      <c r="H54" s="5">
        <f t="shared" si="1"/>
        <v>75313.691138230017</v>
      </c>
      <c r="I54" s="4">
        <f t="shared" si="8"/>
        <v>1.1406944350655328</v>
      </c>
      <c r="J54" s="6">
        <f t="shared" si="9"/>
        <v>234.32660135713232</v>
      </c>
      <c r="K54" s="6">
        <f t="shared" si="11"/>
        <v>1145.118951842102</v>
      </c>
      <c r="L54" s="7">
        <f t="shared" si="12"/>
        <v>0.66783163604405649</v>
      </c>
      <c r="M54" s="5">
        <f t="shared" si="13"/>
        <v>882.84634851117755</v>
      </c>
      <c r="N54" s="6">
        <f t="shared" si="2"/>
        <v>1615.1960826139511</v>
      </c>
      <c r="O54" s="8">
        <f t="shared" si="3"/>
        <v>0.9964568257444113</v>
      </c>
      <c r="P54" s="8">
        <f t="shared" si="4"/>
        <v>2.7631770942907253E-3</v>
      </c>
      <c r="Q54" s="8">
        <f t="shared" si="5"/>
        <v>0.42363994938709382</v>
      </c>
      <c r="R54" s="4">
        <f t="shared" si="6"/>
        <v>2.4806962453522998</v>
      </c>
      <c r="S54" s="5">
        <f t="shared" si="14"/>
        <v>29001.477074538885</v>
      </c>
      <c r="T54" s="4">
        <f t="shared" si="15"/>
        <v>6.4993555974362129</v>
      </c>
      <c r="U54" s="6">
        <f t="shared" si="16"/>
        <v>194.12729255364962</v>
      </c>
      <c r="V54" s="6">
        <f t="shared" si="10"/>
        <v>4112.0038196040841</v>
      </c>
      <c r="W54" s="7">
        <f t="shared" si="7"/>
        <v>1.326988474269893</v>
      </c>
      <c r="X54" s="6">
        <f t="shared" si="17"/>
        <v>109.97757649025378</v>
      </c>
      <c r="Y54" s="6">
        <f t="shared" si="18"/>
        <v>0.21374643260238482</v>
      </c>
      <c r="Z54" s="6">
        <f t="shared" si="19"/>
        <v>8.9697701196331305</v>
      </c>
    </row>
    <row r="55" spans="1:26" x14ac:dyDescent="0.3">
      <c r="A55">
        <v>780</v>
      </c>
      <c r="B55">
        <v>83.394999999999996</v>
      </c>
      <c r="C55">
        <v>3.5691999999999999</v>
      </c>
      <c r="D55">
        <v>30.867000000000001</v>
      </c>
      <c r="E55">
        <v>9.7665000000000002E-2</v>
      </c>
      <c r="F55">
        <v>3206.2</v>
      </c>
      <c r="G55" s="4">
        <f t="shared" si="0"/>
        <v>1.3853492680142079</v>
      </c>
      <c r="H55" s="5">
        <f t="shared" si="1"/>
        <v>74857.421975601683</v>
      </c>
      <c r="I55" s="4">
        <f t="shared" si="8"/>
        <v>1.1280448103209952</v>
      </c>
      <c r="J55" s="6">
        <f t="shared" si="9"/>
        <v>232.31797916661571</v>
      </c>
      <c r="K55" s="6">
        <f t="shared" si="11"/>
        <v>1134.4667717653761</v>
      </c>
      <c r="L55" s="7">
        <f t="shared" si="12"/>
        <v>0.65331355699963334</v>
      </c>
      <c r="M55" s="5">
        <f t="shared" si="13"/>
        <v>883.5408180574708</v>
      </c>
      <c r="N55" s="6">
        <f t="shared" si="2"/>
        <v>1614.8047490246149</v>
      </c>
      <c r="O55" s="8">
        <f t="shared" si="3"/>
        <v>0.99610959097126461</v>
      </c>
      <c r="P55" s="8">
        <f t="shared" si="4"/>
        <v>2.7602164926644789E-3</v>
      </c>
      <c r="Q55" s="8">
        <f t="shared" si="5"/>
        <v>0.42345938730505761</v>
      </c>
      <c r="R55" s="4">
        <f t="shared" si="6"/>
        <v>2.4812974200555158</v>
      </c>
      <c r="S55" s="5">
        <f t="shared" si="14"/>
        <v>29032.58398967348</v>
      </c>
      <c r="T55" s="4">
        <f t="shared" si="15"/>
        <v>6.4928968489708918</v>
      </c>
      <c r="U55" s="6">
        <f t="shared" si="16"/>
        <v>194.23051085886459</v>
      </c>
      <c r="V55" s="6">
        <f t="shared" si="10"/>
        <v>4112.4366562121568</v>
      </c>
      <c r="W55" s="7">
        <f t="shared" si="7"/>
        <v>1.3351625434662782</v>
      </c>
      <c r="X55" s="6">
        <f t="shared" si="17"/>
        <v>105.67896583772894</v>
      </c>
      <c r="Y55" s="6">
        <f t="shared" si="18"/>
        <v>0.21894555727957718</v>
      </c>
      <c r="Z55" s="6">
        <f t="shared" si="19"/>
        <v>9.1887156769127074</v>
      </c>
    </row>
    <row r="56" spans="1:26" x14ac:dyDescent="0.3">
      <c r="A56">
        <v>785</v>
      </c>
      <c r="B56">
        <v>82.230999999999995</v>
      </c>
      <c r="C56">
        <v>3.5095000000000001</v>
      </c>
      <c r="D56">
        <v>31.056000000000001</v>
      </c>
      <c r="E56">
        <v>9.7643999999999995E-2</v>
      </c>
      <c r="F56">
        <v>3223.9</v>
      </c>
      <c r="G56" s="4">
        <f t="shared" si="0"/>
        <v>1.4049592271290008</v>
      </c>
      <c r="H56" s="5">
        <f t="shared" si="1"/>
        <v>74401.856134753252</v>
      </c>
      <c r="I56" s="4">
        <f t="shared" si="8"/>
        <v>1.1162081848347059</v>
      </c>
      <c r="J56" s="6">
        <f t="shared" si="9"/>
        <v>230.36772806880529</v>
      </c>
      <c r="K56" s="6">
        <f t="shared" si="11"/>
        <v>1124.7013219775213</v>
      </c>
      <c r="L56" s="7">
        <f t="shared" si="12"/>
        <v>0.642424997716316</v>
      </c>
      <c r="M56" s="5">
        <f t="shared" si="13"/>
        <v>884.22395116235077</v>
      </c>
      <c r="N56" s="6">
        <f t="shared" si="2"/>
        <v>1614.4198035200152</v>
      </c>
      <c r="O56" s="8">
        <f t="shared" si="3"/>
        <v>0.99576802441882473</v>
      </c>
      <c r="P56" s="8">
        <f t="shared" si="4"/>
        <v>2.7573118445145721E-3</v>
      </c>
      <c r="Q56" s="8">
        <f t="shared" si="5"/>
        <v>0.42328177269778877</v>
      </c>
      <c r="R56" s="4">
        <f t="shared" si="6"/>
        <v>2.4818890656023198</v>
      </c>
      <c r="S56" s="5">
        <f t="shared" si="14"/>
        <v>29063.167922912795</v>
      </c>
      <c r="T56" s="4">
        <f t="shared" si="15"/>
        <v>6.4865608330345301</v>
      </c>
      <c r="U56" s="6">
        <f t="shared" si="16"/>
        <v>194.33195100566502</v>
      </c>
      <c r="V56" s="6">
        <f t="shared" si="10"/>
        <v>4112.8586356748865</v>
      </c>
      <c r="W56" s="7">
        <f t="shared" si="7"/>
        <v>1.3427911507690948</v>
      </c>
      <c r="X56" s="6">
        <f t="shared" si="17"/>
        <v>101.36706505771627</v>
      </c>
      <c r="Y56" s="6">
        <f t="shared" si="18"/>
        <v>0.22573708424003858</v>
      </c>
      <c r="Z56" s="6">
        <f t="shared" si="19"/>
        <v>9.4144527611527451</v>
      </c>
    </row>
    <row r="57" spans="1:26" x14ac:dyDescent="0.3">
      <c r="A57">
        <v>790</v>
      </c>
      <c r="B57">
        <v>81.116</v>
      </c>
      <c r="C57">
        <v>3.4544000000000001</v>
      </c>
      <c r="D57">
        <v>31.245000000000001</v>
      </c>
      <c r="E57">
        <v>9.7669000000000006E-2</v>
      </c>
      <c r="F57">
        <v>3241.3</v>
      </c>
      <c r="G57" s="4">
        <f t="shared" si="0"/>
        <v>1.4242714409739736</v>
      </c>
      <c r="H57" s="5">
        <f t="shared" si="1"/>
        <v>73951.801700140728</v>
      </c>
      <c r="I57" s="4">
        <f t="shared" si="8"/>
        <v>1.1050868545802659</v>
      </c>
      <c r="J57" s="6">
        <f t="shared" si="9"/>
        <v>228.4814039831362</v>
      </c>
      <c r="K57" s="6">
        <f t="shared" si="11"/>
        <v>1115.7775122814464</v>
      </c>
      <c r="L57" s="7">
        <f t="shared" si="12"/>
        <v>0.63153643843298224</v>
      </c>
      <c r="M57" s="5">
        <f t="shared" si="13"/>
        <v>884.89573609546983</v>
      </c>
      <c r="N57" s="6">
        <f t="shared" si="2"/>
        <v>1614.0412527102026</v>
      </c>
      <c r="O57" s="8">
        <f t="shared" si="3"/>
        <v>0.9954321319522651</v>
      </c>
      <c r="P57" s="8">
        <f t="shared" si="4"/>
        <v>2.7544627959217457E-3</v>
      </c>
      <c r="Q57" s="8">
        <f t="shared" si="5"/>
        <v>0.42310710861517786</v>
      </c>
      <c r="R57" s="4">
        <f t="shared" si="6"/>
        <v>2.4824711579832126</v>
      </c>
      <c r="S57" s="5">
        <f t="shared" si="14"/>
        <v>29093.229094113387</v>
      </c>
      <c r="T57" s="4">
        <f t="shared" si="15"/>
        <v>6.4803467431726869</v>
      </c>
      <c r="U57" s="6">
        <f t="shared" si="16"/>
        <v>194.43161600434874</v>
      </c>
      <c r="V57" s="6">
        <f t="shared" si="10"/>
        <v>4113.2699435488266</v>
      </c>
      <c r="W57" s="7">
        <f t="shared" si="7"/>
        <v>1.349877916695734</v>
      </c>
      <c r="X57" s="6">
        <f t="shared" si="17"/>
        <v>97.043757393590766</v>
      </c>
      <c r="Y57" s="6">
        <f t="shared" si="18"/>
        <v>0.23302052905512052</v>
      </c>
      <c r="Z57" s="6">
        <f t="shared" si="19"/>
        <v>9.6474732902078664</v>
      </c>
    </row>
    <row r="58" spans="1:26" x14ac:dyDescent="0.3">
      <c r="A58">
        <v>795</v>
      </c>
      <c r="B58">
        <v>80.049000000000007</v>
      </c>
      <c r="C58">
        <v>3.4032</v>
      </c>
      <c r="D58">
        <v>31.434999999999999</v>
      </c>
      <c r="E58">
        <v>9.7735000000000002E-2</v>
      </c>
      <c r="F58">
        <v>3258.4</v>
      </c>
      <c r="G58" s="4">
        <f t="shared" si="0"/>
        <v>1.4432560332551918</v>
      </c>
      <c r="H58" s="5">
        <f t="shared" si="1"/>
        <v>73504.820872304655</v>
      </c>
      <c r="I58" s="4">
        <f t="shared" si="8"/>
        <v>1.094588346037755</v>
      </c>
      <c r="J58" s="6">
        <f t="shared" si="9"/>
        <v>226.64674236827358</v>
      </c>
      <c r="K58" s="6">
        <f t="shared" si="11"/>
        <v>1107.5659682681608</v>
      </c>
      <c r="L58" s="7">
        <f t="shared" si="12"/>
        <v>0.62064787914964836</v>
      </c>
      <c r="M58" s="5">
        <f t="shared" si="13"/>
        <v>885.55616130437113</v>
      </c>
      <c r="N58" s="6">
        <f t="shared" si="2"/>
        <v>1613.6691031049868</v>
      </c>
      <c r="O58" s="8">
        <f t="shared" si="3"/>
        <v>0.99510191934781445</v>
      </c>
      <c r="P58" s="8">
        <f t="shared" si="4"/>
        <v>2.7516690007862231E-3</v>
      </c>
      <c r="Q58" s="8">
        <f t="shared" si="5"/>
        <v>0.4229353980608635</v>
      </c>
      <c r="R58" s="4">
        <f t="shared" si="6"/>
        <v>2.483043673537749</v>
      </c>
      <c r="S58" s="5">
        <f t="shared" si="14"/>
        <v>29122.767720269563</v>
      </c>
      <c r="T58" s="4">
        <f t="shared" si="15"/>
        <v>6.4742537906420585</v>
      </c>
      <c r="U58" s="6">
        <f t="shared" si="16"/>
        <v>194.52950880650624</v>
      </c>
      <c r="V58" s="6">
        <f t="shared" si="10"/>
        <v>4113.6707620831985</v>
      </c>
      <c r="W58" s="7">
        <f t="shared" si="7"/>
        <v>1.3564989628228044</v>
      </c>
      <c r="X58" s="6">
        <f t="shared" si="17"/>
        <v>92.709021884772397</v>
      </c>
      <c r="Y58" s="6">
        <f t="shared" si="18"/>
        <v>0.24088603537351569</v>
      </c>
      <c r="Z58" s="6">
        <f t="shared" si="19"/>
        <v>9.8883593255813818</v>
      </c>
    </row>
    <row r="59" spans="1:26" x14ac:dyDescent="0.3">
      <c r="A59">
        <v>800</v>
      </c>
      <c r="B59">
        <v>79.024000000000001</v>
      </c>
      <c r="C59">
        <v>3.3557000000000001</v>
      </c>
      <c r="D59">
        <v>31.625</v>
      </c>
      <c r="E59">
        <v>9.7840999999999997E-2</v>
      </c>
      <c r="F59">
        <v>3275.3</v>
      </c>
      <c r="G59" s="4">
        <f t="shared" si="0"/>
        <v>1.4619761364401302</v>
      </c>
      <c r="H59" s="5">
        <f t="shared" si="1"/>
        <v>73063.210881293198</v>
      </c>
      <c r="I59" s="4">
        <f t="shared" si="8"/>
        <v>1.0846578888196154</v>
      </c>
      <c r="J59" s="6">
        <f t="shared" si="9"/>
        <v>224.86579229183891</v>
      </c>
      <c r="K59" s="6">
        <f t="shared" si="11"/>
        <v>1100.0546991812905</v>
      </c>
      <c r="L59" s="7">
        <f t="shared" si="12"/>
        <v>0.61338883962743684</v>
      </c>
      <c r="M59" s="5">
        <f t="shared" si="13"/>
        <v>886.20907883277982</v>
      </c>
      <c r="N59" s="6">
        <f t="shared" si="2"/>
        <v>1613.3011840777285</v>
      </c>
      <c r="O59" s="8">
        <f t="shared" si="3"/>
        <v>0.9947754605836101</v>
      </c>
      <c r="P59" s="8">
        <f t="shared" si="4"/>
        <v>2.748913838036984E-3</v>
      </c>
      <c r="Q59" s="8">
        <f t="shared" si="5"/>
        <v>0.42276563950347723</v>
      </c>
      <c r="R59" s="4">
        <f t="shared" si="6"/>
        <v>2.4836099404084515</v>
      </c>
      <c r="S59" s="5">
        <f t="shared" si="14"/>
        <v>29151.956690715775</v>
      </c>
      <c r="T59" s="4">
        <f t="shared" si="15"/>
        <v>6.4682456988451831</v>
      </c>
      <c r="U59" s="6">
        <f t="shared" si="16"/>
        <v>194.62620422064211</v>
      </c>
      <c r="V59" s="6">
        <f t="shared" si="10"/>
        <v>4114.0635845737061</v>
      </c>
      <c r="W59" s="7">
        <f t="shared" si="7"/>
        <v>1.3626406999928842</v>
      </c>
      <c r="X59" s="6">
        <f t="shared" si="17"/>
        <v>88.364799658271238</v>
      </c>
      <c r="Y59" s="6">
        <f t="shared" si="18"/>
        <v>0.25090355252982693</v>
      </c>
      <c r="Z59" s="6">
        <f t="shared" si="19"/>
        <v>10.139262878111209</v>
      </c>
    </row>
    <row r="60" spans="1:26" x14ac:dyDescent="0.3">
      <c r="A60">
        <v>805</v>
      </c>
      <c r="B60">
        <v>78.040000000000006</v>
      </c>
      <c r="C60">
        <v>3.3115000000000001</v>
      </c>
      <c r="D60">
        <v>31.815999999999999</v>
      </c>
      <c r="E60">
        <v>9.7980999999999999E-2</v>
      </c>
      <c r="F60">
        <v>3292</v>
      </c>
      <c r="G60" s="4">
        <f t="shared" si="0"/>
        <v>1.4804100743983193</v>
      </c>
      <c r="H60" s="5">
        <f t="shared" si="1"/>
        <v>72624.592787305039</v>
      </c>
      <c r="I60" s="4">
        <f t="shared" si="8"/>
        <v>1.0752970882109796</v>
      </c>
      <c r="J60" s="6">
        <f t="shared" si="9"/>
        <v>223.13285039228271</v>
      </c>
      <c r="K60" s="6">
        <f t="shared" si="11"/>
        <v>1093.1389907143125</v>
      </c>
      <c r="L60" s="7">
        <f t="shared" si="12"/>
        <v>0.60612980010520878</v>
      </c>
      <c r="M60" s="5">
        <f t="shared" si="13"/>
        <v>886.85448126090387</v>
      </c>
      <c r="N60" s="6">
        <f t="shared" si="2"/>
        <v>1612.9374998094804</v>
      </c>
      <c r="O60" s="8">
        <f t="shared" si="3"/>
        <v>0.99445275936954802</v>
      </c>
      <c r="P60" s="8">
        <f t="shared" si="4"/>
        <v>2.7461970796054795E-3</v>
      </c>
      <c r="Q60" s="8">
        <f t="shared" si="5"/>
        <v>0.42259783487216496</v>
      </c>
      <c r="R60" s="4">
        <f t="shared" si="6"/>
        <v>2.4841699434240039</v>
      </c>
      <c r="S60" s="5">
        <f t="shared" si="14"/>
        <v>29180.796144636439</v>
      </c>
      <c r="T60" s="4">
        <f t="shared" si="15"/>
        <v>6.4623219482711614</v>
      </c>
      <c r="U60" s="6">
        <f t="shared" si="16"/>
        <v>194.72170417743413</v>
      </c>
      <c r="V60" s="6">
        <f t="shared" si="10"/>
        <v>4114.4485294000933</v>
      </c>
      <c r="W60" s="7">
        <f t="shared" si="7"/>
        <v>1.3683690069152192</v>
      </c>
      <c r="X60" s="6">
        <f t="shared" si="17"/>
        <v>84.012971769789729</v>
      </c>
      <c r="Y60" s="6">
        <f t="shared" si="18"/>
        <v>0.26187340763896971</v>
      </c>
      <c r="Z60" s="6">
        <f t="shared" si="19"/>
        <v>10.401136285750178</v>
      </c>
    </row>
    <row r="61" spans="1:26" x14ac:dyDescent="0.3">
      <c r="A61">
        <v>810</v>
      </c>
      <c r="B61">
        <v>77.093000000000004</v>
      </c>
      <c r="C61">
        <v>3.2704</v>
      </c>
      <c r="D61">
        <v>32.006999999999998</v>
      </c>
      <c r="E61">
        <v>9.8155000000000006E-2</v>
      </c>
      <c r="F61">
        <v>3308.4</v>
      </c>
      <c r="G61" s="4">
        <f t="shared" si="0"/>
        <v>1.4985952318115114</v>
      </c>
      <c r="H61" s="5">
        <f t="shared" si="1"/>
        <v>72191.209551688618</v>
      </c>
      <c r="I61" s="4">
        <f t="shared" si="8"/>
        <v>1.0664326096480055</v>
      </c>
      <c r="J61" s="6">
        <f t="shared" si="9"/>
        <v>221.44845355080074</v>
      </c>
      <c r="K61" s="6">
        <f t="shared" si="11"/>
        <v>1086.8136479139423</v>
      </c>
      <c r="L61" s="7">
        <f t="shared" si="12"/>
        <v>0.59524124082189145</v>
      </c>
      <c r="M61" s="5">
        <f t="shared" si="13"/>
        <v>887.48849530507425</v>
      </c>
      <c r="N61" s="6">
        <f t="shared" si="2"/>
        <v>1612.5802328955906</v>
      </c>
      <c r="O61" s="8">
        <f t="shared" si="3"/>
        <v>0.99413575234746299</v>
      </c>
      <c r="P61" s="8">
        <f t="shared" si="4"/>
        <v>2.743534715586797E-3</v>
      </c>
      <c r="Q61" s="8">
        <f t="shared" si="5"/>
        <v>0.42243299122068068</v>
      </c>
      <c r="R61" s="4">
        <f t="shared" si="6"/>
        <v>2.4847203109103222</v>
      </c>
      <c r="S61" s="5">
        <f t="shared" si="14"/>
        <v>29209.113592653637</v>
      </c>
      <c r="T61" s="4">
        <f t="shared" si="15"/>
        <v>6.4565173773239577</v>
      </c>
      <c r="U61" s="6">
        <f t="shared" si="16"/>
        <v>194.81543926677725</v>
      </c>
      <c r="V61" s="6">
        <f t="shared" si="10"/>
        <v>4114.8234372717779</v>
      </c>
      <c r="W61" s="7">
        <f t="shared" si="7"/>
        <v>1.3736710532745102</v>
      </c>
      <c r="X61" s="6">
        <f t="shared" si="17"/>
        <v>79.651546340260182</v>
      </c>
      <c r="Y61" s="6">
        <f t="shared" si="18"/>
        <v>0.27230174830263698</v>
      </c>
      <c r="Z61" s="6">
        <f t="shared" si="19"/>
        <v>10.673438034052815</v>
      </c>
    </row>
    <row r="62" spans="1:26" x14ac:dyDescent="0.3">
      <c r="A62">
        <v>815</v>
      </c>
      <c r="B62">
        <v>76.180000000000007</v>
      </c>
      <c r="C62">
        <v>3.2320000000000002</v>
      </c>
      <c r="D62">
        <v>32.198</v>
      </c>
      <c r="E62">
        <v>9.8359000000000002E-2</v>
      </c>
      <c r="F62">
        <v>3324.7</v>
      </c>
      <c r="G62" s="4">
        <f t="shared" si="0"/>
        <v>1.5165555553431982</v>
      </c>
      <c r="H62" s="5">
        <f t="shared" si="1"/>
        <v>71762.968014190235</v>
      </c>
      <c r="I62" s="4">
        <f t="shared" si="8"/>
        <v>1.0580011590195102</v>
      </c>
      <c r="J62" s="6">
        <f t="shared" si="9"/>
        <v>219.80800277514916</v>
      </c>
      <c r="K62" s="6">
        <f t="shared" si="11"/>
        <v>1081.0047672480448</v>
      </c>
      <c r="L62" s="7">
        <f t="shared" si="12"/>
        <v>0.5916117210607692</v>
      </c>
      <c r="M62" s="5">
        <f t="shared" si="13"/>
        <v>888.11884434968556</v>
      </c>
      <c r="N62" s="6">
        <f t="shared" si="2"/>
        <v>1612.225031208952</v>
      </c>
      <c r="O62" s="8">
        <f t="shared" si="3"/>
        <v>0.9938205778251572</v>
      </c>
      <c r="P62" s="8">
        <f t="shared" si="4"/>
        <v>2.740894063350091E-3</v>
      </c>
      <c r="Q62" s="8">
        <f t="shared" si="5"/>
        <v>0.42226910046908173</v>
      </c>
      <c r="R62" s="4">
        <f t="shared" si="6"/>
        <v>2.4852677387371922</v>
      </c>
      <c r="S62" s="5">
        <f t="shared" si="14"/>
        <v>29237.254450840017</v>
      </c>
      <c r="T62" s="4">
        <f t="shared" si="15"/>
        <v>6.4507607086812566</v>
      </c>
      <c r="U62" s="6">
        <f t="shared" si="16"/>
        <v>194.90855428805747</v>
      </c>
      <c r="V62" s="6">
        <f t="shared" si="10"/>
        <v>4115.192994647361</v>
      </c>
      <c r="W62" s="7">
        <f t="shared" si="7"/>
        <v>1.3785935852974767</v>
      </c>
      <c r="X62" s="6">
        <f t="shared" si="17"/>
        <v>75.282535247088916</v>
      </c>
      <c r="Y62" s="6">
        <f t="shared" si="18"/>
        <v>0.28737412911300908</v>
      </c>
      <c r="Z62" s="6">
        <f t="shared" si="19"/>
        <v>10.960812163165825</v>
      </c>
    </row>
    <row r="63" spans="1:26" x14ac:dyDescent="0.3">
      <c r="A63">
        <v>820</v>
      </c>
      <c r="B63">
        <v>75.3</v>
      </c>
      <c r="C63">
        <v>3.1960999999999999</v>
      </c>
      <c r="D63">
        <v>32.389000000000003</v>
      </c>
      <c r="E63">
        <v>9.8591999999999999E-2</v>
      </c>
      <c r="F63">
        <v>3340.8</v>
      </c>
      <c r="G63" s="4">
        <f t="shared" si="0"/>
        <v>1.5342789137588959</v>
      </c>
      <c r="H63" s="5">
        <f t="shared" si="1"/>
        <v>71339.777212044108</v>
      </c>
      <c r="I63" s="4">
        <f t="shared" si="8"/>
        <v>1.0499683838445311</v>
      </c>
      <c r="J63" s="6">
        <f t="shared" si="9"/>
        <v>218.20888744965754</v>
      </c>
      <c r="K63" s="6">
        <f t="shared" si="11"/>
        <v>1075.6825315718318</v>
      </c>
      <c r="L63" s="7">
        <f t="shared" si="12"/>
        <v>0.58435268153857411</v>
      </c>
      <c r="M63" s="5">
        <f t="shared" si="13"/>
        <v>888.74165650262398</v>
      </c>
      <c r="N63" s="6">
        <f t="shared" si="2"/>
        <v>1611.8740765607713</v>
      </c>
      <c r="O63" s="8">
        <f t="shared" si="3"/>
        <v>0.99350917174868802</v>
      </c>
      <c r="P63" s="8">
        <f t="shared" si="4"/>
        <v>2.7382911544630061E-3</v>
      </c>
      <c r="Q63" s="8">
        <f t="shared" si="5"/>
        <v>0.4221071693093178</v>
      </c>
      <c r="R63" s="4">
        <f t="shared" si="6"/>
        <v>2.4858088580948188</v>
      </c>
      <c r="S63" s="5">
        <f t="shared" si="14"/>
        <v>29265.046203123195</v>
      </c>
      <c r="T63" s="4">
        <f t="shared" si="15"/>
        <v>6.4450868752805279</v>
      </c>
      <c r="U63" s="6">
        <f t="shared" si="16"/>
        <v>195.00047947558213</v>
      </c>
      <c r="V63" s="6">
        <f t="shared" si="10"/>
        <v>4115.5550202698851</v>
      </c>
      <c r="W63" s="7">
        <f t="shared" si="7"/>
        <v>1.3831492250115576</v>
      </c>
      <c r="X63" s="6">
        <f t="shared" si="17"/>
        <v>70.907734597659569</v>
      </c>
      <c r="Y63" s="6">
        <f t="shared" si="18"/>
        <v>0.30235652812451685</v>
      </c>
      <c r="Z63" s="6">
        <f t="shared" si="19"/>
        <v>11.263168691290341</v>
      </c>
    </row>
    <row r="64" spans="1:26" x14ac:dyDescent="0.3">
      <c r="A64">
        <v>825</v>
      </c>
      <c r="B64">
        <v>74.45</v>
      </c>
      <c r="C64">
        <v>3.1625000000000001</v>
      </c>
      <c r="D64">
        <v>32.581000000000003</v>
      </c>
      <c r="E64">
        <v>9.8850999999999994E-2</v>
      </c>
      <c r="F64">
        <v>3356.7</v>
      </c>
      <c r="G64" s="4">
        <f t="shared" si="0"/>
        <v>1.551795865762859</v>
      </c>
      <c r="H64" s="5">
        <f t="shared" si="1"/>
        <v>70919.371539268192</v>
      </c>
      <c r="I64" s="4">
        <f t="shared" si="8"/>
        <v>1.0423507349445125</v>
      </c>
      <c r="J64" s="6">
        <f t="shared" si="9"/>
        <v>216.64665570944283</v>
      </c>
      <c r="K64" s="6">
        <f t="shared" si="11"/>
        <v>1070.7869281767064</v>
      </c>
      <c r="L64" s="7">
        <f t="shared" si="12"/>
        <v>0.57709364201632962</v>
      </c>
      <c r="M64" s="5">
        <f t="shared" si="13"/>
        <v>889.35692464819874</v>
      </c>
      <c r="N64" s="6">
        <f t="shared" si="2"/>
        <v>1611.5273729607397</v>
      </c>
      <c r="O64" s="8">
        <f t="shared" si="3"/>
        <v>0.99320153767590069</v>
      </c>
      <c r="P64" s="8">
        <f t="shared" si="4"/>
        <v>2.7357257758572934E-3</v>
      </c>
      <c r="Q64" s="8">
        <f t="shared" si="5"/>
        <v>0.42194719959146831</v>
      </c>
      <c r="R64" s="4">
        <f t="shared" si="6"/>
        <v>2.4863436543971047</v>
      </c>
      <c r="S64" s="5">
        <f t="shared" si="14"/>
        <v>29292.488984153086</v>
      </c>
      <c r="T64" s="4">
        <f t="shared" si="15"/>
        <v>6.4394953915366617</v>
      </c>
      <c r="U64" s="6">
        <f t="shared" si="16"/>
        <v>195.09121665100693</v>
      </c>
      <c r="V64" s="6">
        <f t="shared" si="10"/>
        <v>4115.9096265392409</v>
      </c>
      <c r="W64" s="7">
        <f t="shared" si="7"/>
        <v>1.3873785857823806</v>
      </c>
      <c r="X64" s="6">
        <f t="shared" si="17"/>
        <v>66.525208875312572</v>
      </c>
      <c r="Y64" s="6">
        <f t="shared" si="18"/>
        <v>0.31924485799929075</v>
      </c>
      <c r="Z64" s="6">
        <f t="shared" si="19"/>
        <v>11.582413549289631</v>
      </c>
    </row>
    <row r="65" spans="1:26" x14ac:dyDescent="0.3">
      <c r="A65">
        <v>830</v>
      </c>
      <c r="B65">
        <v>73.628</v>
      </c>
      <c r="C65">
        <v>3.1309999999999998</v>
      </c>
      <c r="D65">
        <v>32.773000000000003</v>
      </c>
      <c r="E65">
        <v>9.9135000000000001E-2</v>
      </c>
      <c r="F65">
        <v>3372.4</v>
      </c>
      <c r="G65" s="4">
        <f t="shared" si="0"/>
        <v>1.5691204732716473</v>
      </c>
      <c r="H65" s="5">
        <f t="shared" si="1"/>
        <v>70503.891743840868</v>
      </c>
      <c r="I65" s="4">
        <f t="shared" si="8"/>
        <v>1.0350760377263328</v>
      </c>
      <c r="J65" s="6">
        <f t="shared" si="9"/>
        <v>215.12155368518179</v>
      </c>
      <c r="K65" s="6">
        <f t="shared" si="11"/>
        <v>1066.3037612290248</v>
      </c>
      <c r="L65" s="7">
        <f t="shared" si="12"/>
        <v>0.56983460249413453</v>
      </c>
      <c r="M65" s="5">
        <f t="shared" si="13"/>
        <v>889.96464174772052</v>
      </c>
      <c r="N65" s="6">
        <f t="shared" si="2"/>
        <v>1611.1849243751594</v>
      </c>
      <c r="O65" s="8">
        <f t="shared" si="3"/>
        <v>0.9928976791261398</v>
      </c>
      <c r="P65" s="8">
        <f t="shared" si="4"/>
        <v>2.7331977181061051E-3</v>
      </c>
      <c r="Q65" s="8">
        <f t="shared" si="5"/>
        <v>0.42178919314559266</v>
      </c>
      <c r="R65" s="4">
        <f t="shared" si="6"/>
        <v>2.4868721132070362</v>
      </c>
      <c r="S65" s="5">
        <f t="shared" si="14"/>
        <v>29319.582927389401</v>
      </c>
      <c r="T65" s="4">
        <f t="shared" si="15"/>
        <v>6.433985780104309</v>
      </c>
      <c r="U65" s="6">
        <f t="shared" si="16"/>
        <v>195.18076760913291</v>
      </c>
      <c r="V65" s="6">
        <f t="shared" si="10"/>
        <v>4116.2569243696798</v>
      </c>
      <c r="W65" s="7">
        <f t="shared" si="7"/>
        <v>1.3912845443106472</v>
      </c>
      <c r="X65" s="6">
        <f t="shared" si="17"/>
        <v>62.134911346240884</v>
      </c>
      <c r="Y65" s="6">
        <f t="shared" si="18"/>
        <v>0.33845269494466224</v>
      </c>
      <c r="Z65" s="6">
        <f t="shared" si="19"/>
        <v>11.920866244234293</v>
      </c>
    </row>
    <row r="66" spans="1:26" x14ac:dyDescent="0.3">
      <c r="A66" s="3" t="s">
        <v>50</v>
      </c>
      <c r="L66" s="14">
        <f>SUM(L4:L65)</f>
        <v>76.499388004895948</v>
      </c>
      <c r="Y66" s="15">
        <f>SUM(Y4:Y65)</f>
        <v>11.920866244234293</v>
      </c>
    </row>
  </sheetData>
  <hyperlinks>
    <hyperlink ref="D1" r:id="rId1" xr:uid="{785E96B5-D8A7-4B35-BDD0-099BF2E56FDB}"/>
  </hyperlinks>
  <pageMargins left="0.7" right="0.7" top="0.75" bottom="0.75" header="0.3" footer="0.3"/>
  <pageSetup orientation="portrait" horizontalDpi="1200" verticalDpi="1200" r:id="rId2"/>
  <drawing r:id="rId3"/>
  <legacyDrawing r:id="rId4"/>
  <oleObjects>
    <mc:AlternateContent xmlns:mc="http://schemas.openxmlformats.org/markup-compatibility/2006">
      <mc:Choice Requires="x14">
        <oleObject progId="Equation.DSMT4" shapeId="1025" r:id="rId5">
          <objectPr defaultSize="0" r:id="rId6">
            <anchor moveWithCells="1" sizeWithCells="1">
              <from>
                <xdr:col>27</xdr:col>
                <xdr:colOff>7620</xdr:colOff>
                <xdr:row>32</xdr:row>
                <xdr:rowOff>7620</xdr:rowOff>
              </from>
              <to>
                <xdr:col>28</xdr:col>
                <xdr:colOff>320040</xdr:colOff>
                <xdr:row>42</xdr:row>
                <xdr:rowOff>38100</xdr:rowOff>
              </to>
            </anchor>
          </objectPr>
        </oleObject>
      </mc:Choice>
      <mc:Fallback>
        <oleObject progId="Equation.DSMT4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Won Sik</dc:creator>
  <cp:lastModifiedBy>Yang, Won Sik</cp:lastModifiedBy>
  <dcterms:created xsi:type="dcterms:W3CDTF">2026-09-05T12:37:27Z</dcterms:created>
  <dcterms:modified xsi:type="dcterms:W3CDTF">2026-09-05T12:38:55Z</dcterms:modified>
</cp:coreProperties>
</file>